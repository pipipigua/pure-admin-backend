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71B3A149-5183-4840-BD5C-C9611C8D7D5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<sst xmlns="http://schemas.openxmlformats.org/spreadsheetml/2006/main" count="596" uniqueCount="308">
  <si>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4" type="noConversion"/>
  </si>
  <si>
    <t>學號</t>
    <phoneticPr fontId="2" type="noConversion"/>
  </si>
  <si>
    <t>高三1</t>
    <phoneticPr fontId="4" type="noConversion"/>
  </si>
  <si>
    <t>高三2</t>
    <phoneticPr fontId="4" type="noConversion"/>
  </si>
  <si>
    <t>高三3</t>
    <phoneticPr fontId="4" type="noConversion"/>
  </si>
  <si>
    <t>高三4</t>
    <phoneticPr fontId="4" type="noConversion"/>
  </si>
  <si>
    <t>高三5</t>
    <phoneticPr fontId="4" type="noConversion"/>
  </si>
  <si>
    <t>高三6</t>
    <phoneticPr fontId="4" type="noConversion"/>
  </si>
  <si>
    <t>高三7</t>
    <phoneticPr fontId="4" type="noConversion"/>
  </si>
  <si>
    <t>高三8</t>
    <phoneticPr fontId="4" type="noConversion"/>
  </si>
  <si>
    <t>高三9</t>
    <phoneticPr fontId="4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</si>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</sst>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7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PMingLiu"/>
      <charset val="136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1" fillId="0" borderId="0">
      <alignment vertical="center"/>
    </xf>
    <xf numFmtId="0" fontId="14" fillId="0" borderId="0"/>
  </cellStyleXfs>
  <cellXfs count="48">
    <xf numFmtId="0" fontId="0" fillId="0" borderId="0" xfId="0"/>
    <xf numFmtId="0" fontId="3" fillId="0" borderId="0" xfId="0" applyFont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distributed"/>
    </xf>
    <xf numFmtId="0" fontId="3" fillId="0" borderId="1" xfId="0" applyFont="1" applyBorder="1" applyAlignment="1">
      <alignment horizontal="center" vertical="distributed"/>
    </xf>
    <xf numFmtId="0" fontId="3" fillId="0" borderId="2" xfId="0" applyFont="1" applyBorder="1" applyAlignment="1">
      <alignment horizontal="center" vertical="distributed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distributed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right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distributed"/>
    </xf>
    <xf numFmtId="0" fontId="3" fillId="0" borderId="3" xfId="0" applyFont="1" applyBorder="1" applyAlignment="1">
      <alignment horizontal="center" vertical="distributed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distributed"/>
    </xf>
    <xf numFmtId="0" fontId="4" fillId="0" borderId="3" xfId="0" applyFont="1" applyBorder="1" applyAlignment="1">
      <alignment horizontal="center" vertical="distributed"/>
    </xf>
    <xf numFmtId="0" fontId="3" fillId="0" borderId="4" xfId="0" applyFont="1" applyBorder="1" applyAlignment="1">
      <alignment horizontal="center" vertical="distributed"/>
    </xf>
    <xf numFmtId="0" fontId="4" fillId="0" borderId="0" xfId="0" applyFont="1" applyAlignment="1">
      <alignment horizontal="center" vertical="distributed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distributed"/>
    </xf>
    <xf numFmtId="164" fontId="4" fillId="0" borderId="0" xfId="0" applyNumberFormat="1" applyFont="1" applyAlignment="1">
      <alignment horizontal="center" vertical="distributed"/>
    </xf>
    <xf numFmtId="164" fontId="3" fillId="0" borderId="0" xfId="0" applyNumberFormat="1" applyFont="1" applyAlignment="1">
      <alignment horizontal="center" vertical="distributed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distributed"/>
    </xf>
    <xf numFmtId="164" fontId="9" fillId="0" borderId="5" xfId="0" applyNumberFormat="1" applyFont="1" applyBorder="1" applyAlignment="1">
      <alignment vertical="distributed"/>
    </xf>
    <xf numFmtId="164" fontId="9" fillId="0" borderId="0" xfId="0" applyNumberFormat="1" applyFont="1" applyBorder="1" applyAlignment="1">
      <alignment vertical="distributed"/>
    </xf>
    <xf numFmtId="0" fontId="10" fillId="0" borderId="0" xfId="0" applyFont="1" applyBorder="1" applyAlignment="1">
      <alignment horizontal="center" vertical="distributed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6" xfId="2" applyFont="1" applyBorder="1">
      <alignment vertical="center"/>
    </xf>
    <xf numFmtId="0" fontId="16" fillId="0" borderId="1" xfId="3" applyFont="1" applyBorder="1" applyAlignment="1">
      <alignment vertical="center"/>
    </xf>
    <xf numFmtId="0" fontId="15" fillId="0" borderId="7" xfId="2" applyFont="1" applyBorder="1">
      <alignment vertical="center"/>
    </xf>
    <xf numFmtId="0" fontId="15" fillId="0" borderId="8" xfId="2" applyFont="1" applyBorder="1">
      <alignment vertical="center"/>
    </xf>
    <xf numFmtId="164" fontId="9" fillId="0" borderId="5" xfId="0" applyNumberFormat="1" applyFont="1" applyBorder="1" applyAlignment="1">
      <alignment horizontal="center" vertical="distributed"/>
    </xf>
    <xf numFmtId="164" fontId="9" fillId="0" borderId="5" xfId="0" applyNumberFormat="1" applyFont="1" applyBorder="1" applyAlignment="1">
      <alignment horizontal="right" vertical="distributed"/>
    </xf>
    <xf numFmtId="164" fontId="9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一般" xfId="0" builtinId="0"/>
    <cellStyle name="一般 2" xfId="3" xr:uid="{70774C67-A98C-47DE-B5E3-7758FE89B64A}"/>
    <cellStyle name="一般 3" xfId="1" xr:uid="{00000000-0005-0000-0000-000001000000}"/>
    <cellStyle name="一般 4" xfId="2" xr:uid="{200DA9BB-450C-49CE-88C9-D4A06A82C55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workbookViewId="0">
      <pane ySplit="3" topLeftCell="A16" activePane="bottomLeft" state="frozen"/>
      <selection pane="bottomLeft" activeCell="A4" sqref="A4:AJ37"/>
    </sheetView>
  </sheetViews>
  <sheetFormatPr defaultColWidth="9" defaultRowHeight="15.75"/>
  <cols>
    <col min="1" max="1" width="6.75" style="20" customWidth="1"/>
    <col min="2" max="2" width="3.25" style="21" customWidth="1"/>
    <col min="3" max="3" width="8.25" style="22" customWidth="1"/>
    <col min="4" max="4" width="5.875" style="23" customWidth="1"/>
    <col min="5" max="5" width="6.75" style="20" customWidth="1"/>
    <col min="6" max="6" width="3.25" style="21" customWidth="1"/>
    <col min="7" max="7" width="8.25" style="22" customWidth="1"/>
    <col min="8" max="8" width="5.875" style="23" customWidth="1"/>
    <col min="9" max="9" width="6.75" style="20" customWidth="1"/>
    <col min="10" max="10" width="3.25" style="21" customWidth="1"/>
    <col min="11" max="11" width="8.25" style="22" customWidth="1"/>
    <col min="12" max="12" width="5.875" style="23" customWidth="1"/>
    <col min="13" max="13" width="6.75" style="20" customWidth="1"/>
    <col min="14" max="14" width="3.25" style="21" customWidth="1"/>
    <col min="15" max="15" width="8.25" style="22" customWidth="1"/>
    <col min="16" max="16" width="5.875" style="23" customWidth="1"/>
    <col min="17" max="17" width="6.75" style="20" customWidth="1"/>
    <col min="18" max="18" width="3.25" style="21" customWidth="1"/>
    <col min="19" max="19" width="8.25" style="22" customWidth="1"/>
    <col min="20" max="20" width="5.875" style="23" customWidth="1"/>
    <col min="21" max="21" width="6.75" style="20" customWidth="1"/>
    <col min="22" max="22" width="3.25" style="21" customWidth="1"/>
    <col min="23" max="23" width="8.25" style="22" customWidth="1"/>
    <col min="24" max="24" width="5.875" style="23" customWidth="1"/>
    <col min="25" max="25" width="6.75" style="20" customWidth="1"/>
    <col min="26" max="26" width="3.25" style="21" customWidth="1"/>
    <col min="27" max="27" width="8.25" style="22" customWidth="1"/>
    <col min="28" max="28" width="5.875" style="23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6" customFormat="1" ht="41.25" customHeight="1">
      <c r="A1" s="44">
        <v>2024</v>
      </c>
      <c r="B1" s="44"/>
      <c r="C1" s="24" t="s">
        <v>281</v>
      </c>
      <c r="D1" s="43" t="s">
        <v>280</v>
      </c>
      <c r="E1" s="43"/>
      <c r="F1" s="24"/>
      <c r="G1" s="26" t="s">
        <v>296</v>
      </c>
      <c r="H1" s="45" t="s">
        <v>282</v>
      </c>
      <c r="I1" s="45"/>
      <c r="J1" s="45"/>
      <c r="K1" s="45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  <c r="AP1" s="25"/>
      <c r="AQ1" s="25"/>
      <c r="AR1" s="25"/>
    </row>
    <row r="2" spans="1:44" s="30" customFormat="1" ht="25.9" customHeight="1">
      <c r="A2" s="27" t="s">
        <v>0</v>
      </c>
      <c r="B2" s="27" t="s">
        <v>1</v>
      </c>
      <c r="C2" s="28" t="s">
        <v>2</v>
      </c>
      <c r="D2" s="28" t="s">
        <v>284</v>
      </c>
      <c r="E2" s="27" t="s">
        <v>0</v>
      </c>
      <c r="F2" s="27" t="s">
        <v>1</v>
      </c>
      <c r="G2" s="28" t="s">
        <v>3</v>
      </c>
      <c r="H2" s="28" t="s">
        <v>284</v>
      </c>
      <c r="I2" s="27" t="s">
        <v>0</v>
      </c>
      <c r="J2" s="27" t="s">
        <v>1</v>
      </c>
      <c r="K2" s="28" t="s">
        <v>4</v>
      </c>
      <c r="L2" s="28" t="s">
        <v>284</v>
      </c>
      <c r="M2" s="27" t="s">
        <v>0</v>
      </c>
      <c r="N2" s="27" t="s">
        <v>1</v>
      </c>
      <c r="O2" s="28" t="s">
        <v>5</v>
      </c>
      <c r="P2" s="28" t="s">
        <v>284</v>
      </c>
      <c r="Q2" s="27" t="s">
        <v>0</v>
      </c>
      <c r="R2" s="27" t="s">
        <v>1</v>
      </c>
      <c r="S2" s="28" t="s">
        <v>6</v>
      </c>
      <c r="T2" s="28" t="s">
        <v>284</v>
      </c>
      <c r="U2" s="27" t="s">
        <v>0</v>
      </c>
      <c r="V2" s="27" t="s">
        <v>1</v>
      </c>
      <c r="W2" s="28" t="s">
        <v>7</v>
      </c>
      <c r="X2" s="28" t="s">
        <v>284</v>
      </c>
      <c r="Y2" s="27" t="s">
        <v>0</v>
      </c>
      <c r="Z2" s="27" t="s">
        <v>1</v>
      </c>
      <c r="AA2" s="28" t="s">
        <v>8</v>
      </c>
      <c r="AB2" s="28" t="s">
        <v>284</v>
      </c>
      <c r="AC2" s="27" t="s">
        <v>0</v>
      </c>
      <c r="AD2" s="27" t="s">
        <v>1</v>
      </c>
      <c r="AE2" s="28" t="s">
        <v>9</v>
      </c>
      <c r="AF2" s="28" t="s">
        <v>284</v>
      </c>
      <c r="AG2" s="27" t="s">
        <v>0</v>
      </c>
      <c r="AH2" s="27" t="s">
        <v>1</v>
      </c>
      <c r="AI2" s="28" t="s">
        <v>10</v>
      </c>
      <c r="AJ2" s="28" t="s">
        <v>284</v>
      </c>
      <c r="AK2" s="28"/>
      <c r="AL2" s="28"/>
      <c r="AM2" s="28"/>
      <c r="AN2" s="29"/>
    </row>
    <row r="3" spans="1:44" ht="7.5" customHeight="1" thickBo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10">
        <v>20210198</v>
      </c>
      <c r="B4" s="8">
        <v>1</v>
      </c>
      <c r="C4" s="8" t="s">
        <v>11</v>
      </c>
      <c r="D4" s="39">
        <v>93</v>
      </c>
      <c r="E4" s="10">
        <v>20190194</v>
      </c>
      <c r="F4" s="8">
        <v>1</v>
      </c>
      <c r="G4" s="8" t="s">
        <v>12</v>
      </c>
      <c r="H4" s="9">
        <v>93</v>
      </c>
      <c r="I4" s="10">
        <v>20230213</v>
      </c>
      <c r="J4" s="8">
        <v>1</v>
      </c>
      <c r="K4" s="8" t="s">
        <v>13</v>
      </c>
      <c r="L4" s="39">
        <v>90</v>
      </c>
      <c r="M4" s="10">
        <v>20190043</v>
      </c>
      <c r="N4" s="8">
        <v>1</v>
      </c>
      <c r="O4" s="8" t="s">
        <v>14</v>
      </c>
      <c r="P4" s="9">
        <v>88</v>
      </c>
      <c r="Q4" s="10">
        <v>20190080</v>
      </c>
      <c r="R4" s="8">
        <v>1</v>
      </c>
      <c r="S4" s="8" t="s">
        <v>15</v>
      </c>
      <c r="T4" s="9">
        <v>93</v>
      </c>
      <c r="U4" s="10">
        <v>20190231</v>
      </c>
      <c r="V4" s="8">
        <v>1</v>
      </c>
      <c r="W4" s="8" t="s">
        <v>16</v>
      </c>
      <c r="X4" s="9">
        <v>97</v>
      </c>
      <c r="Y4" s="10">
        <v>20190028</v>
      </c>
      <c r="Z4" s="8">
        <v>1</v>
      </c>
      <c r="AA4" s="8" t="s">
        <v>17</v>
      </c>
      <c r="AB4" s="40">
        <v>92</v>
      </c>
      <c r="AC4" s="4">
        <v>20220088</v>
      </c>
      <c r="AD4" s="4">
        <v>1</v>
      </c>
      <c r="AE4" s="4" t="s">
        <v>18</v>
      </c>
      <c r="AF4" s="4">
        <v>92</v>
      </c>
      <c r="AG4" s="4">
        <v>20190164</v>
      </c>
      <c r="AH4" s="4">
        <v>1</v>
      </c>
      <c r="AI4" s="4" t="s">
        <v>19</v>
      </c>
      <c r="AJ4" s="4">
        <v>92</v>
      </c>
      <c r="AK4" s="4"/>
      <c r="AL4" s="4"/>
      <c r="AM4" s="4"/>
      <c r="AN4" s="5"/>
    </row>
    <row r="5" spans="1:44" ht="19.899999999999999" customHeight="1">
      <c r="A5" s="10">
        <v>20230214</v>
      </c>
      <c r="B5" s="8">
        <v>2</v>
      </c>
      <c r="C5" s="8" t="s">
        <v>20</v>
      </c>
      <c r="D5" s="41">
        <v>92</v>
      </c>
      <c r="E5" s="10">
        <v>20200072</v>
      </c>
      <c r="F5" s="8">
        <v>2</v>
      </c>
      <c r="G5" s="8" t="s">
        <v>21</v>
      </c>
      <c r="H5" s="9">
        <v>90</v>
      </c>
      <c r="I5" s="10">
        <v>20190061</v>
      </c>
      <c r="J5" s="8">
        <v>2</v>
      </c>
      <c r="K5" s="8" t="s">
        <v>22</v>
      </c>
      <c r="L5" s="41">
        <v>93</v>
      </c>
      <c r="M5" s="10">
        <v>20220053</v>
      </c>
      <c r="N5" s="8">
        <v>2</v>
      </c>
      <c r="O5" s="8" t="s">
        <v>23</v>
      </c>
      <c r="P5" s="9">
        <v>90</v>
      </c>
      <c r="Q5" s="10">
        <v>20230348</v>
      </c>
      <c r="R5" s="8">
        <v>2</v>
      </c>
      <c r="S5" s="8" t="s">
        <v>24</v>
      </c>
      <c r="T5" s="9">
        <v>90</v>
      </c>
      <c r="U5" s="10">
        <v>20190004</v>
      </c>
      <c r="V5" s="8">
        <v>2</v>
      </c>
      <c r="W5" s="8" t="s">
        <v>25</v>
      </c>
      <c r="X5" s="9">
        <v>92</v>
      </c>
      <c r="Y5" s="10">
        <v>20122143</v>
      </c>
      <c r="Z5" s="8">
        <v>2</v>
      </c>
      <c r="AA5" s="8" t="s">
        <v>26</v>
      </c>
      <c r="AB5" s="40">
        <v>92</v>
      </c>
      <c r="AC5" s="4">
        <v>20190046</v>
      </c>
      <c r="AD5" s="4">
        <v>2</v>
      </c>
      <c r="AE5" s="4" t="s">
        <v>27</v>
      </c>
      <c r="AF5" s="4">
        <v>92</v>
      </c>
      <c r="AG5" s="4">
        <v>20230302</v>
      </c>
      <c r="AH5" s="4">
        <v>2</v>
      </c>
      <c r="AI5" s="4" t="s">
        <v>28</v>
      </c>
      <c r="AJ5" s="4">
        <v>90</v>
      </c>
      <c r="AK5" s="4"/>
      <c r="AL5" s="4"/>
      <c r="AM5" s="4"/>
      <c r="AN5" s="5"/>
    </row>
    <row r="6" spans="1:44" ht="19.899999999999999" customHeight="1">
      <c r="A6" s="10">
        <v>20190086</v>
      </c>
      <c r="B6" s="8">
        <v>3</v>
      </c>
      <c r="C6" s="8" t="s">
        <v>29</v>
      </c>
      <c r="D6" s="41">
        <v>87</v>
      </c>
      <c r="E6" s="10">
        <v>20102031</v>
      </c>
      <c r="F6" s="8">
        <v>3</v>
      </c>
      <c r="G6" s="8" t="s">
        <v>30</v>
      </c>
      <c r="H6" s="9">
        <v>92</v>
      </c>
      <c r="I6" s="10">
        <v>20097078</v>
      </c>
      <c r="J6" s="8">
        <v>3</v>
      </c>
      <c r="K6" s="8" t="s">
        <v>31</v>
      </c>
      <c r="L6" s="41">
        <v>93</v>
      </c>
      <c r="M6" s="10">
        <v>20220090</v>
      </c>
      <c r="N6" s="8">
        <v>3</v>
      </c>
      <c r="O6" s="8" t="s">
        <v>32</v>
      </c>
      <c r="P6" s="9">
        <v>88</v>
      </c>
      <c r="Q6" s="10">
        <v>20190190</v>
      </c>
      <c r="R6" s="8">
        <v>3</v>
      </c>
      <c r="S6" s="8" t="s">
        <v>33</v>
      </c>
      <c r="T6" s="9">
        <v>93</v>
      </c>
      <c r="U6" s="10">
        <v>20210122</v>
      </c>
      <c r="V6" s="8">
        <v>3</v>
      </c>
      <c r="W6" s="8" t="s">
        <v>34</v>
      </c>
      <c r="X6" s="9">
        <v>92</v>
      </c>
      <c r="Y6" s="10">
        <v>20133052</v>
      </c>
      <c r="Z6" s="8">
        <v>3</v>
      </c>
      <c r="AA6" s="8" t="s">
        <v>35</v>
      </c>
      <c r="AB6" s="40">
        <v>90</v>
      </c>
      <c r="AC6" s="4">
        <v>20220164</v>
      </c>
      <c r="AD6" s="4">
        <v>3</v>
      </c>
      <c r="AE6" s="4" t="s">
        <v>36</v>
      </c>
      <c r="AF6" s="4">
        <v>93</v>
      </c>
      <c r="AG6" s="4">
        <v>20143114</v>
      </c>
      <c r="AH6" s="4">
        <v>3</v>
      </c>
      <c r="AI6" s="4" t="s">
        <v>37</v>
      </c>
      <c r="AJ6" s="4">
        <v>92</v>
      </c>
      <c r="AK6" s="4"/>
      <c r="AL6" s="4"/>
      <c r="AM6" s="4"/>
      <c r="AN6" s="5"/>
    </row>
    <row r="7" spans="1:44" ht="19.899999999999999" customHeight="1">
      <c r="A7" s="10">
        <v>20230295</v>
      </c>
      <c r="B7" s="8">
        <v>4</v>
      </c>
      <c r="C7" s="8" t="s">
        <v>38</v>
      </c>
      <c r="D7" s="41">
        <v>93</v>
      </c>
      <c r="E7" s="10">
        <v>20180007</v>
      </c>
      <c r="F7" s="8">
        <v>4</v>
      </c>
      <c r="G7" s="8" t="s">
        <v>39</v>
      </c>
      <c r="H7" s="9">
        <v>92</v>
      </c>
      <c r="I7" s="10">
        <v>20200074</v>
      </c>
      <c r="J7" s="8">
        <v>4</v>
      </c>
      <c r="K7" s="8" t="s">
        <v>40</v>
      </c>
      <c r="L7" s="41">
        <v>93</v>
      </c>
      <c r="M7" s="10">
        <v>20190011</v>
      </c>
      <c r="N7" s="8">
        <v>4</v>
      </c>
      <c r="O7" s="8" t="s">
        <v>41</v>
      </c>
      <c r="P7" s="9">
        <v>85</v>
      </c>
      <c r="Q7" s="10">
        <v>20122139</v>
      </c>
      <c r="R7" s="8">
        <v>4</v>
      </c>
      <c r="S7" s="8" t="s">
        <v>42</v>
      </c>
      <c r="T7" s="9">
        <v>90</v>
      </c>
      <c r="U7" s="10">
        <v>20220101</v>
      </c>
      <c r="V7" s="8">
        <v>4</v>
      </c>
      <c r="W7" s="8" t="s">
        <v>43</v>
      </c>
      <c r="X7" s="9">
        <v>98</v>
      </c>
      <c r="Y7" s="10">
        <v>20102002</v>
      </c>
      <c r="Z7" s="8">
        <v>4</v>
      </c>
      <c r="AA7" s="8" t="s">
        <v>44</v>
      </c>
      <c r="AB7" s="40">
        <v>93</v>
      </c>
      <c r="AC7" s="4">
        <v>20180063</v>
      </c>
      <c r="AD7" s="4">
        <v>4</v>
      </c>
      <c r="AE7" s="4" t="s">
        <v>45</v>
      </c>
      <c r="AF7" s="4">
        <v>92</v>
      </c>
      <c r="AG7" s="4">
        <v>20190089</v>
      </c>
      <c r="AH7" s="4">
        <v>4</v>
      </c>
      <c r="AI7" s="4" t="s">
        <v>46</v>
      </c>
      <c r="AJ7" s="4">
        <v>93</v>
      </c>
      <c r="AK7" s="4"/>
      <c r="AL7" s="4"/>
      <c r="AM7" s="4"/>
      <c r="AN7" s="5"/>
    </row>
    <row r="8" spans="1:44" ht="19.899999999999999" customHeight="1" thickBot="1">
      <c r="A8" s="10">
        <v>20220187</v>
      </c>
      <c r="B8" s="8">
        <v>5</v>
      </c>
      <c r="C8" s="8" t="s">
        <v>47</v>
      </c>
      <c r="D8" s="42">
        <v>90</v>
      </c>
      <c r="E8" s="10">
        <v>20102034</v>
      </c>
      <c r="F8" s="8">
        <v>5</v>
      </c>
      <c r="G8" s="8" t="s">
        <v>48</v>
      </c>
      <c r="H8" s="9">
        <v>90</v>
      </c>
      <c r="I8" s="10">
        <v>20200175</v>
      </c>
      <c r="J8" s="8">
        <v>5</v>
      </c>
      <c r="K8" s="8" t="s">
        <v>49</v>
      </c>
      <c r="L8" s="42">
        <v>93</v>
      </c>
      <c r="M8" s="10">
        <v>20230298</v>
      </c>
      <c r="N8" s="8">
        <v>5</v>
      </c>
      <c r="O8" s="8" t="s">
        <v>50</v>
      </c>
      <c r="P8" s="9">
        <v>90</v>
      </c>
      <c r="Q8" s="10">
        <v>20220175</v>
      </c>
      <c r="R8" s="8">
        <v>5</v>
      </c>
      <c r="S8" s="8" t="s">
        <v>51</v>
      </c>
      <c r="T8" s="9">
        <v>90</v>
      </c>
      <c r="U8" s="10">
        <v>20190012</v>
      </c>
      <c r="V8" s="8">
        <v>5</v>
      </c>
      <c r="W8" s="8" t="s">
        <v>52</v>
      </c>
      <c r="X8" s="9">
        <v>90</v>
      </c>
      <c r="Y8" s="10">
        <v>20190236</v>
      </c>
      <c r="Z8" s="8">
        <v>5</v>
      </c>
      <c r="AA8" s="8" t="s">
        <v>53</v>
      </c>
      <c r="AB8" s="40">
        <v>92</v>
      </c>
      <c r="AC8" s="4">
        <v>20220225</v>
      </c>
      <c r="AD8" s="4">
        <v>5</v>
      </c>
      <c r="AE8" s="4" t="s">
        <v>54</v>
      </c>
      <c r="AF8" s="4">
        <v>93</v>
      </c>
      <c r="AG8" s="4">
        <v>20190042</v>
      </c>
      <c r="AH8" s="4">
        <v>5</v>
      </c>
      <c r="AI8" s="4" t="s">
        <v>55</v>
      </c>
      <c r="AJ8" s="4">
        <v>90</v>
      </c>
      <c r="AK8" s="4"/>
      <c r="AL8" s="4"/>
      <c r="AM8" s="4"/>
      <c r="AN8" s="5"/>
    </row>
    <row r="9" spans="1:44" ht="19.899999999999999" customHeight="1">
      <c r="A9" s="10">
        <v>20133010</v>
      </c>
      <c r="B9" s="8">
        <v>6</v>
      </c>
      <c r="C9" s="8" t="s">
        <v>56</v>
      </c>
      <c r="D9" s="39">
        <v>90</v>
      </c>
      <c r="E9" s="10">
        <v>20153065</v>
      </c>
      <c r="F9" s="8">
        <v>6</v>
      </c>
      <c r="G9" s="8" t="s">
        <v>57</v>
      </c>
      <c r="H9" s="9">
        <v>92</v>
      </c>
      <c r="I9" s="10">
        <v>20220220</v>
      </c>
      <c r="J9" s="8">
        <v>6</v>
      </c>
      <c r="K9" s="8" t="s">
        <v>58</v>
      </c>
      <c r="L9" s="39">
        <v>93</v>
      </c>
      <c r="M9" s="10">
        <v>20153078</v>
      </c>
      <c r="N9" s="8">
        <v>6</v>
      </c>
      <c r="O9" s="8" t="s">
        <v>59</v>
      </c>
      <c r="P9" s="9">
        <v>88</v>
      </c>
      <c r="Q9" s="10">
        <v>20102035</v>
      </c>
      <c r="R9" s="8">
        <v>6</v>
      </c>
      <c r="S9" s="8" t="s">
        <v>60</v>
      </c>
      <c r="T9" s="9">
        <v>90</v>
      </c>
      <c r="U9" s="10">
        <v>20190063</v>
      </c>
      <c r="V9" s="8">
        <v>6</v>
      </c>
      <c r="W9" s="8" t="s">
        <v>61</v>
      </c>
      <c r="X9" s="9">
        <v>98</v>
      </c>
      <c r="Y9" s="10">
        <v>20163044</v>
      </c>
      <c r="Z9" s="8">
        <v>6</v>
      </c>
      <c r="AA9" s="8" t="s">
        <v>62</v>
      </c>
      <c r="AB9" s="40">
        <v>90</v>
      </c>
      <c r="AC9" s="4">
        <v>20220059</v>
      </c>
      <c r="AD9" s="4">
        <v>6</v>
      </c>
      <c r="AE9" s="4" t="s">
        <v>63</v>
      </c>
      <c r="AF9" s="4">
        <v>92</v>
      </c>
      <c r="AG9" s="4">
        <v>20220083</v>
      </c>
      <c r="AH9" s="4">
        <v>6</v>
      </c>
      <c r="AI9" s="4" t="s">
        <v>64</v>
      </c>
      <c r="AJ9" s="4">
        <v>90</v>
      </c>
      <c r="AK9" s="4"/>
      <c r="AL9" s="4"/>
      <c r="AM9" s="4"/>
      <c r="AN9" s="5"/>
    </row>
    <row r="10" spans="1:44" ht="19.899999999999999" customHeight="1">
      <c r="A10" s="10">
        <v>20220081</v>
      </c>
      <c r="B10" s="8">
        <v>7</v>
      </c>
      <c r="C10" s="8" t="s">
        <v>65</v>
      </c>
      <c r="D10" s="41">
        <v>92</v>
      </c>
      <c r="E10" s="10">
        <v>20220084</v>
      </c>
      <c r="F10" s="8">
        <v>7</v>
      </c>
      <c r="G10" s="8" t="s">
        <v>66</v>
      </c>
      <c r="H10" s="9">
        <v>90</v>
      </c>
      <c r="I10" s="10">
        <v>20210196</v>
      </c>
      <c r="J10" s="8">
        <v>7</v>
      </c>
      <c r="K10" s="8" t="s">
        <v>67</v>
      </c>
      <c r="L10" s="41">
        <v>90</v>
      </c>
      <c r="M10" s="10">
        <v>20190082</v>
      </c>
      <c r="N10" s="8">
        <v>7</v>
      </c>
      <c r="O10" s="8" t="s">
        <v>68</v>
      </c>
      <c r="P10" s="9">
        <v>90</v>
      </c>
      <c r="Q10" s="10">
        <v>20220082</v>
      </c>
      <c r="R10" s="8">
        <v>7</v>
      </c>
      <c r="S10" s="8" t="s">
        <v>69</v>
      </c>
      <c r="T10" s="9">
        <v>90</v>
      </c>
      <c r="U10" s="10">
        <v>20230310</v>
      </c>
      <c r="V10" s="8">
        <v>7</v>
      </c>
      <c r="W10" s="8" t="s">
        <v>70</v>
      </c>
      <c r="X10" s="9">
        <v>97</v>
      </c>
      <c r="Y10" s="10">
        <v>20190213</v>
      </c>
      <c r="Z10" s="8">
        <v>7</v>
      </c>
      <c r="AA10" s="8" t="s">
        <v>71</v>
      </c>
      <c r="AB10" s="40">
        <v>90</v>
      </c>
      <c r="AC10" s="4">
        <v>20143015</v>
      </c>
      <c r="AD10" s="4">
        <v>7</v>
      </c>
      <c r="AE10" s="4" t="s">
        <v>72</v>
      </c>
      <c r="AF10" s="4">
        <v>92</v>
      </c>
      <c r="AG10" s="4">
        <v>20072002</v>
      </c>
      <c r="AH10" s="4">
        <v>7</v>
      </c>
      <c r="AI10" s="4" t="s">
        <v>73</v>
      </c>
      <c r="AJ10" s="4">
        <v>88</v>
      </c>
      <c r="AK10" s="4"/>
      <c r="AL10" s="4"/>
      <c r="AM10" s="4"/>
      <c r="AN10" s="5"/>
    </row>
    <row r="11" spans="1:44" ht="19.899999999999999" customHeight="1">
      <c r="A11" s="10">
        <v>20190179</v>
      </c>
      <c r="B11" s="8">
        <v>8</v>
      </c>
      <c r="C11" s="8" t="s">
        <v>74</v>
      </c>
      <c r="D11" s="41">
        <v>90</v>
      </c>
      <c r="E11" s="10">
        <v>20210163</v>
      </c>
      <c r="F11" s="8">
        <v>8</v>
      </c>
      <c r="G11" s="8" t="s">
        <v>75</v>
      </c>
      <c r="H11" s="9">
        <v>92</v>
      </c>
      <c r="I11" s="10">
        <v>20102007</v>
      </c>
      <c r="J11" s="8">
        <v>8</v>
      </c>
      <c r="K11" s="8" t="s">
        <v>76</v>
      </c>
      <c r="L11" s="41">
        <v>90</v>
      </c>
      <c r="M11" s="10">
        <v>20220097</v>
      </c>
      <c r="N11" s="8">
        <v>8</v>
      </c>
      <c r="O11" s="8" t="s">
        <v>77</v>
      </c>
      <c r="P11" s="9">
        <v>93</v>
      </c>
      <c r="Q11" s="10">
        <v>20220091</v>
      </c>
      <c r="R11" s="8">
        <v>8</v>
      </c>
      <c r="S11" s="8" t="s">
        <v>78</v>
      </c>
      <c r="T11" s="9">
        <v>92</v>
      </c>
      <c r="U11" s="10">
        <v>20210184</v>
      </c>
      <c r="V11" s="8">
        <v>8</v>
      </c>
      <c r="W11" s="8" t="s">
        <v>79</v>
      </c>
      <c r="X11" s="9">
        <v>98</v>
      </c>
      <c r="Y11" s="10">
        <v>20220228</v>
      </c>
      <c r="Z11" s="8">
        <v>8</v>
      </c>
      <c r="AA11" s="8" t="s">
        <v>80</v>
      </c>
      <c r="AB11" s="40">
        <v>88</v>
      </c>
      <c r="AC11" s="4">
        <v>20220166</v>
      </c>
      <c r="AD11" s="4">
        <v>8</v>
      </c>
      <c r="AE11" s="4" t="s">
        <v>81</v>
      </c>
      <c r="AF11" s="4">
        <v>90</v>
      </c>
      <c r="AG11" s="4">
        <v>20190070</v>
      </c>
      <c r="AH11" s="4">
        <v>8</v>
      </c>
      <c r="AI11" s="4" t="s">
        <v>82</v>
      </c>
      <c r="AJ11" s="4">
        <v>90</v>
      </c>
      <c r="AK11" s="4"/>
      <c r="AL11" s="4"/>
      <c r="AM11" s="4"/>
      <c r="AN11" s="5"/>
    </row>
    <row r="12" spans="1:44" ht="19.899999999999999" customHeight="1">
      <c r="A12" s="10">
        <v>20190009</v>
      </c>
      <c r="B12" s="8">
        <v>9</v>
      </c>
      <c r="C12" s="8" t="s">
        <v>84</v>
      </c>
      <c r="D12" s="41">
        <v>88</v>
      </c>
      <c r="E12" s="10">
        <v>20190244</v>
      </c>
      <c r="F12" s="8">
        <v>9</v>
      </c>
      <c r="G12" s="8" t="s">
        <v>85</v>
      </c>
      <c r="H12" s="9">
        <v>93</v>
      </c>
      <c r="I12" s="10">
        <v>20220060</v>
      </c>
      <c r="J12" s="8">
        <v>9</v>
      </c>
      <c r="K12" s="8" t="s">
        <v>86</v>
      </c>
      <c r="L12" s="41">
        <v>92</v>
      </c>
      <c r="M12" s="10">
        <v>20220142</v>
      </c>
      <c r="N12" s="8">
        <v>9</v>
      </c>
      <c r="O12" s="8" t="s">
        <v>87</v>
      </c>
      <c r="P12" s="9">
        <v>88</v>
      </c>
      <c r="Q12" s="10">
        <v>20122133</v>
      </c>
      <c r="R12" s="8">
        <v>9</v>
      </c>
      <c r="S12" s="8" t="s">
        <v>88</v>
      </c>
      <c r="T12" s="9">
        <v>90</v>
      </c>
      <c r="U12" s="10">
        <v>20190163</v>
      </c>
      <c r="V12" s="8">
        <v>9</v>
      </c>
      <c r="W12" s="8" t="s">
        <v>83</v>
      </c>
      <c r="X12" s="9">
        <v>95</v>
      </c>
      <c r="Y12" s="10">
        <v>20173024</v>
      </c>
      <c r="Z12" s="8">
        <v>9</v>
      </c>
      <c r="AA12" s="8" t="s">
        <v>89</v>
      </c>
      <c r="AB12" s="40">
        <v>90</v>
      </c>
      <c r="AC12" s="4">
        <v>20210160</v>
      </c>
      <c r="AD12" s="4">
        <v>9</v>
      </c>
      <c r="AE12" s="4" t="s">
        <v>90</v>
      </c>
      <c r="AF12" s="4">
        <v>92</v>
      </c>
      <c r="AG12" s="4">
        <v>20190022</v>
      </c>
      <c r="AH12" s="4">
        <v>9</v>
      </c>
      <c r="AI12" s="4" t="s">
        <v>91</v>
      </c>
      <c r="AJ12" s="4">
        <v>93</v>
      </c>
      <c r="AK12" s="4"/>
      <c r="AL12" s="4"/>
      <c r="AM12" s="4"/>
      <c r="AN12" s="5"/>
    </row>
    <row r="13" spans="1:44" ht="19.899999999999999" customHeight="1" thickBot="1">
      <c r="A13" s="10">
        <v>20153119</v>
      </c>
      <c r="B13" s="8">
        <v>10</v>
      </c>
      <c r="C13" s="8" t="s">
        <v>92</v>
      </c>
      <c r="D13" s="42">
        <v>88</v>
      </c>
      <c r="E13" s="10">
        <v>20220085</v>
      </c>
      <c r="F13" s="8">
        <v>10</v>
      </c>
      <c r="G13" s="8" t="s">
        <v>93</v>
      </c>
      <c r="H13" s="9">
        <v>92</v>
      </c>
      <c r="I13" s="10">
        <v>20163070</v>
      </c>
      <c r="J13" s="8">
        <v>10</v>
      </c>
      <c r="K13" s="8" t="s">
        <v>94</v>
      </c>
      <c r="L13" s="42">
        <v>90</v>
      </c>
      <c r="M13" s="10">
        <v>20220086</v>
      </c>
      <c r="N13" s="8">
        <v>10</v>
      </c>
      <c r="O13" s="8" t="s">
        <v>95</v>
      </c>
      <c r="P13" s="9">
        <v>93</v>
      </c>
      <c r="Q13" s="10">
        <v>20230301</v>
      </c>
      <c r="R13" s="8">
        <v>10</v>
      </c>
      <c r="S13" s="8" t="s">
        <v>96</v>
      </c>
      <c r="T13" s="9">
        <v>90</v>
      </c>
      <c r="U13" s="10">
        <v>20190159</v>
      </c>
      <c r="V13" s="8">
        <v>10</v>
      </c>
      <c r="W13" s="8" t="s">
        <v>97</v>
      </c>
      <c r="X13" s="9">
        <v>90</v>
      </c>
      <c r="Y13" s="10">
        <v>20102063</v>
      </c>
      <c r="Z13" s="8">
        <v>10</v>
      </c>
      <c r="AA13" s="8" t="s">
        <v>98</v>
      </c>
      <c r="AB13" s="40">
        <v>90</v>
      </c>
      <c r="AC13" s="4">
        <v>20163052</v>
      </c>
      <c r="AD13" s="4">
        <v>10</v>
      </c>
      <c r="AE13" s="4" t="s">
        <v>99</v>
      </c>
      <c r="AF13" s="4">
        <v>90</v>
      </c>
      <c r="AG13" s="4">
        <v>20190192</v>
      </c>
      <c r="AH13" s="4">
        <v>10</v>
      </c>
      <c r="AI13" s="4" t="s">
        <v>100</v>
      </c>
      <c r="AJ13" s="4">
        <v>92</v>
      </c>
      <c r="AK13" s="4"/>
      <c r="AL13" s="4"/>
      <c r="AM13" s="4"/>
      <c r="AN13" s="5"/>
    </row>
    <row r="14" spans="1:44" ht="19.899999999999999" customHeight="1">
      <c r="A14" s="10">
        <v>20220219</v>
      </c>
      <c r="B14" s="8">
        <v>11</v>
      </c>
      <c r="C14" s="8" t="s">
        <v>101</v>
      </c>
      <c r="D14" s="39">
        <v>93</v>
      </c>
      <c r="E14" s="10">
        <v>20173030</v>
      </c>
      <c r="F14" s="8">
        <v>11</v>
      </c>
      <c r="G14" s="8" t="s">
        <v>102</v>
      </c>
      <c r="H14" s="9">
        <v>92</v>
      </c>
      <c r="I14" s="10">
        <v>20153045</v>
      </c>
      <c r="J14" s="8">
        <v>11</v>
      </c>
      <c r="K14" s="8" t="s">
        <v>103</v>
      </c>
      <c r="L14" s="39">
        <v>93</v>
      </c>
      <c r="M14" s="10">
        <v>20200095</v>
      </c>
      <c r="N14" s="8">
        <v>11</v>
      </c>
      <c r="O14" s="8" t="s">
        <v>104</v>
      </c>
      <c r="P14" s="9">
        <v>93</v>
      </c>
      <c r="Q14" s="10">
        <v>20220223</v>
      </c>
      <c r="R14" s="8">
        <v>11</v>
      </c>
      <c r="S14" s="8" t="s">
        <v>105</v>
      </c>
      <c r="T14" s="9">
        <v>88</v>
      </c>
      <c r="U14" s="10">
        <v>20153106</v>
      </c>
      <c r="V14" s="8">
        <v>11</v>
      </c>
      <c r="W14" s="8" t="s">
        <v>106</v>
      </c>
      <c r="X14" s="9">
        <v>93</v>
      </c>
      <c r="Y14" s="10">
        <v>20102009</v>
      </c>
      <c r="Z14" s="8">
        <v>11</v>
      </c>
      <c r="AA14" s="8" t="s">
        <v>107</v>
      </c>
      <c r="AB14" s="40">
        <v>85</v>
      </c>
      <c r="AC14" s="4">
        <v>20210119</v>
      </c>
      <c r="AD14" s="4">
        <v>11</v>
      </c>
      <c r="AE14" s="4" t="s">
        <v>108</v>
      </c>
      <c r="AF14" s="4">
        <v>93</v>
      </c>
      <c r="AG14" s="4">
        <v>20190225</v>
      </c>
      <c r="AH14" s="4">
        <v>11</v>
      </c>
      <c r="AI14" s="4" t="s">
        <v>109</v>
      </c>
      <c r="AJ14" s="4">
        <v>90</v>
      </c>
      <c r="AK14" s="4"/>
      <c r="AL14" s="4"/>
      <c r="AM14" s="4"/>
      <c r="AN14" s="5"/>
    </row>
    <row r="15" spans="1:44" ht="19.899999999999999" customHeight="1">
      <c r="A15" s="10">
        <v>20190044</v>
      </c>
      <c r="B15" s="8">
        <v>12</v>
      </c>
      <c r="C15" s="8" t="s">
        <v>110</v>
      </c>
      <c r="D15" s="41">
        <v>90</v>
      </c>
      <c r="E15" s="10">
        <v>20220066</v>
      </c>
      <c r="F15" s="8">
        <v>12</v>
      </c>
      <c r="G15" s="8" t="s">
        <v>111</v>
      </c>
      <c r="H15" s="9">
        <v>88</v>
      </c>
      <c r="I15" s="10">
        <v>20190111</v>
      </c>
      <c r="J15" s="8">
        <v>12</v>
      </c>
      <c r="K15" s="8" t="s">
        <v>112</v>
      </c>
      <c r="L15" s="41">
        <v>93</v>
      </c>
      <c r="M15" s="10">
        <v>20133015</v>
      </c>
      <c r="N15" s="8">
        <v>12</v>
      </c>
      <c r="O15" s="8" t="s">
        <v>113</v>
      </c>
      <c r="P15" s="9">
        <v>92</v>
      </c>
      <c r="Q15" s="10">
        <v>20163053</v>
      </c>
      <c r="R15" s="8">
        <v>12</v>
      </c>
      <c r="S15" s="8" t="s">
        <v>114</v>
      </c>
      <c r="T15" s="9">
        <v>92</v>
      </c>
      <c r="U15" s="10">
        <v>20220069</v>
      </c>
      <c r="V15" s="8">
        <v>12</v>
      </c>
      <c r="W15" s="8" t="s">
        <v>115</v>
      </c>
      <c r="X15" s="9">
        <v>98</v>
      </c>
      <c r="Y15" s="10">
        <v>20230315</v>
      </c>
      <c r="Z15" s="8">
        <v>12</v>
      </c>
      <c r="AA15" s="8" t="s">
        <v>116</v>
      </c>
      <c r="AB15" s="40">
        <v>60</v>
      </c>
      <c r="AC15" s="4">
        <v>20180080</v>
      </c>
      <c r="AD15" s="4">
        <v>12</v>
      </c>
      <c r="AE15" s="4" t="s">
        <v>117</v>
      </c>
      <c r="AF15" s="4">
        <v>90</v>
      </c>
      <c r="AG15" s="4">
        <v>20230294</v>
      </c>
      <c r="AH15" s="4">
        <v>12</v>
      </c>
      <c r="AI15" s="4" t="s">
        <v>118</v>
      </c>
      <c r="AJ15" s="4">
        <v>90</v>
      </c>
      <c r="AK15" s="4"/>
      <c r="AL15" s="4"/>
      <c r="AM15" s="4"/>
      <c r="AN15" s="5"/>
    </row>
    <row r="16" spans="1:44" ht="19.899999999999999" customHeight="1">
      <c r="A16" s="10">
        <v>20230347</v>
      </c>
      <c r="B16" s="8">
        <v>13</v>
      </c>
      <c r="C16" s="8" t="s">
        <v>119</v>
      </c>
      <c r="D16" s="41">
        <v>93</v>
      </c>
      <c r="E16" s="10">
        <v>20220188</v>
      </c>
      <c r="F16" s="8">
        <v>13</v>
      </c>
      <c r="G16" s="8" t="s">
        <v>120</v>
      </c>
      <c r="H16" s="9">
        <v>93</v>
      </c>
      <c r="I16" s="10">
        <v>20163039</v>
      </c>
      <c r="J16" s="8">
        <v>13</v>
      </c>
      <c r="K16" s="8" t="s">
        <v>121</v>
      </c>
      <c r="L16" s="41">
        <v>92</v>
      </c>
      <c r="M16" s="10">
        <v>20220185</v>
      </c>
      <c r="N16" s="8">
        <v>13</v>
      </c>
      <c r="O16" s="8" t="s">
        <v>122</v>
      </c>
      <c r="P16" s="9">
        <v>90</v>
      </c>
      <c r="Q16" s="10">
        <v>20102067</v>
      </c>
      <c r="R16" s="8">
        <v>13</v>
      </c>
      <c r="S16" s="8" t="s">
        <v>123</v>
      </c>
      <c r="T16" s="9">
        <v>88</v>
      </c>
      <c r="U16" s="10">
        <v>20190097</v>
      </c>
      <c r="V16" s="8">
        <v>13</v>
      </c>
      <c r="W16" s="8" t="s">
        <v>124</v>
      </c>
      <c r="X16" s="9">
        <v>90</v>
      </c>
      <c r="Y16" s="10">
        <v>20190187</v>
      </c>
      <c r="Z16" s="8">
        <v>13</v>
      </c>
      <c r="AA16" s="8" t="s">
        <v>125</v>
      </c>
      <c r="AB16" s="40">
        <v>88</v>
      </c>
      <c r="AC16" s="4">
        <v>20173036</v>
      </c>
      <c r="AD16" s="4">
        <v>13</v>
      </c>
      <c r="AE16" s="4" t="s">
        <v>126</v>
      </c>
      <c r="AF16" s="4">
        <v>92</v>
      </c>
      <c r="AG16" s="4">
        <v>20163042</v>
      </c>
      <c r="AH16" s="4">
        <v>13</v>
      </c>
      <c r="AI16" s="4" t="s">
        <v>127</v>
      </c>
      <c r="AJ16" s="4">
        <v>92</v>
      </c>
      <c r="AK16" s="4"/>
      <c r="AL16" s="4"/>
      <c r="AM16" s="4"/>
      <c r="AN16" s="5"/>
    </row>
    <row r="17" spans="1:40" ht="19.899999999999999" customHeight="1">
      <c r="A17" s="10">
        <v>20163038</v>
      </c>
      <c r="B17" s="8">
        <v>14</v>
      </c>
      <c r="C17" s="8" t="s">
        <v>128</v>
      </c>
      <c r="D17" s="41">
        <v>90</v>
      </c>
      <c r="E17" s="10">
        <v>20230217</v>
      </c>
      <c r="F17" s="8">
        <v>14</v>
      </c>
      <c r="G17" s="8" t="s">
        <v>129</v>
      </c>
      <c r="H17" s="9">
        <v>90</v>
      </c>
      <c r="I17" s="10">
        <v>20143016</v>
      </c>
      <c r="J17" s="8">
        <v>14</v>
      </c>
      <c r="K17" s="8" t="s">
        <v>130</v>
      </c>
      <c r="L17" s="41">
        <v>90</v>
      </c>
      <c r="M17" s="10">
        <v>20220094</v>
      </c>
      <c r="N17" s="8">
        <v>14</v>
      </c>
      <c r="O17" s="8" t="s">
        <v>131</v>
      </c>
      <c r="P17" s="9">
        <v>90</v>
      </c>
      <c r="Q17" s="10">
        <v>20102012</v>
      </c>
      <c r="R17" s="8">
        <v>14</v>
      </c>
      <c r="S17" s="8" t="s">
        <v>132</v>
      </c>
      <c r="T17" s="9">
        <v>92</v>
      </c>
      <c r="U17" s="10">
        <v>20163083</v>
      </c>
      <c r="V17" s="8">
        <v>14</v>
      </c>
      <c r="W17" s="8" t="s">
        <v>133</v>
      </c>
      <c r="X17" s="9">
        <v>92</v>
      </c>
      <c r="Y17" s="10">
        <v>20220065</v>
      </c>
      <c r="Z17" s="8">
        <v>14</v>
      </c>
      <c r="AA17" s="8" t="s">
        <v>134</v>
      </c>
      <c r="AB17" s="40">
        <v>90</v>
      </c>
      <c r="AC17" s="4">
        <v>20133018</v>
      </c>
      <c r="AD17" s="4">
        <v>14</v>
      </c>
      <c r="AE17" s="4" t="s">
        <v>135</v>
      </c>
      <c r="AF17" s="4">
        <v>92</v>
      </c>
      <c r="AG17" s="4">
        <v>20200190</v>
      </c>
      <c r="AH17" s="4">
        <v>14</v>
      </c>
      <c r="AI17" s="4" t="s">
        <v>136</v>
      </c>
      <c r="AJ17" s="4">
        <v>93</v>
      </c>
      <c r="AK17" s="4"/>
      <c r="AL17" s="4"/>
      <c r="AM17" s="4"/>
      <c r="AN17" s="5"/>
    </row>
    <row r="18" spans="1:40" ht="19.899999999999999" customHeight="1" thickBot="1">
      <c r="A18" s="10">
        <v>20220144</v>
      </c>
      <c r="B18" s="8">
        <v>15</v>
      </c>
      <c r="C18" s="8" t="s">
        <v>137</v>
      </c>
      <c r="D18" s="42">
        <v>93</v>
      </c>
      <c r="E18" s="10">
        <v>20122155</v>
      </c>
      <c r="F18" s="8">
        <v>15</v>
      </c>
      <c r="G18" s="8" t="s">
        <v>138</v>
      </c>
      <c r="H18" s="9">
        <v>92</v>
      </c>
      <c r="I18" s="10">
        <v>20112106</v>
      </c>
      <c r="J18" s="8">
        <v>15</v>
      </c>
      <c r="K18" s="8" t="s">
        <v>139</v>
      </c>
      <c r="L18" s="42">
        <v>90</v>
      </c>
      <c r="M18" s="10">
        <v>20200096</v>
      </c>
      <c r="N18" s="8">
        <v>15</v>
      </c>
      <c r="O18" s="8" t="s">
        <v>140</v>
      </c>
      <c r="P18" s="9">
        <v>88</v>
      </c>
      <c r="Q18" s="10">
        <v>20143073</v>
      </c>
      <c r="R18" s="8">
        <v>15</v>
      </c>
      <c r="S18" s="8" t="s">
        <v>141</v>
      </c>
      <c r="T18" s="9">
        <v>90</v>
      </c>
      <c r="U18" s="10">
        <v>20220079</v>
      </c>
      <c r="V18" s="8">
        <v>15</v>
      </c>
      <c r="W18" s="8" t="s">
        <v>142</v>
      </c>
      <c r="X18" s="9">
        <v>92</v>
      </c>
      <c r="Y18" s="10">
        <v>20180127</v>
      </c>
      <c r="Z18" s="8">
        <v>15</v>
      </c>
      <c r="AA18" s="8" t="s">
        <v>143</v>
      </c>
      <c r="AB18" s="40">
        <v>90</v>
      </c>
      <c r="AC18" s="4">
        <v>20220172</v>
      </c>
      <c r="AD18" s="4">
        <v>15</v>
      </c>
      <c r="AE18" s="4" t="s">
        <v>144</v>
      </c>
      <c r="AF18" s="4">
        <v>90</v>
      </c>
      <c r="AG18" s="4">
        <v>20153092</v>
      </c>
      <c r="AH18" s="4">
        <v>15</v>
      </c>
      <c r="AI18" s="4" t="s">
        <v>145</v>
      </c>
      <c r="AJ18" s="4">
        <v>93</v>
      </c>
      <c r="AK18" s="4"/>
      <c r="AL18" s="4"/>
      <c r="AM18" s="4"/>
      <c r="AN18" s="5"/>
    </row>
    <row r="19" spans="1:40" ht="19.899999999999999" customHeight="1">
      <c r="A19" s="10">
        <v>20210197</v>
      </c>
      <c r="B19" s="8">
        <v>16</v>
      </c>
      <c r="C19" s="8" t="s">
        <v>146</v>
      </c>
      <c r="D19" s="39">
        <v>90</v>
      </c>
      <c r="E19" s="10">
        <v>20183037</v>
      </c>
      <c r="F19" s="8">
        <v>16</v>
      </c>
      <c r="G19" s="8" t="s">
        <v>147</v>
      </c>
      <c r="H19" s="9">
        <v>93</v>
      </c>
      <c r="I19" s="10">
        <v>20200159</v>
      </c>
      <c r="J19" s="8">
        <v>16</v>
      </c>
      <c r="K19" s="8" t="s">
        <v>148</v>
      </c>
      <c r="L19" s="39">
        <v>93</v>
      </c>
      <c r="M19" s="10">
        <v>20210120</v>
      </c>
      <c r="N19" s="8">
        <v>16</v>
      </c>
      <c r="O19" s="8" t="s">
        <v>149</v>
      </c>
      <c r="P19" s="9">
        <v>90</v>
      </c>
      <c r="Q19" s="10">
        <v>20190103</v>
      </c>
      <c r="R19" s="8">
        <v>16</v>
      </c>
      <c r="S19" s="8" t="s">
        <v>150</v>
      </c>
      <c r="T19" s="9">
        <v>90</v>
      </c>
      <c r="U19" s="10">
        <v>20190006</v>
      </c>
      <c r="V19" s="8">
        <v>16</v>
      </c>
      <c r="W19" s="8" t="s">
        <v>151</v>
      </c>
      <c r="X19" s="9">
        <v>90</v>
      </c>
      <c r="Y19" s="10">
        <v>20102041</v>
      </c>
      <c r="Z19" s="8">
        <v>16</v>
      </c>
      <c r="AA19" s="8" t="s">
        <v>152</v>
      </c>
      <c r="AB19" s="40">
        <v>92</v>
      </c>
      <c r="AC19" s="4">
        <v>20190040</v>
      </c>
      <c r="AD19" s="4">
        <v>16</v>
      </c>
      <c r="AE19" s="4" t="s">
        <v>153</v>
      </c>
      <c r="AF19" s="4">
        <v>90</v>
      </c>
      <c r="AG19" s="4">
        <v>20122156</v>
      </c>
      <c r="AH19" s="4">
        <v>16</v>
      </c>
      <c r="AI19" s="4" t="s">
        <v>154</v>
      </c>
      <c r="AJ19" s="4">
        <v>92</v>
      </c>
      <c r="AK19" s="4"/>
      <c r="AL19" s="4"/>
      <c r="AM19" s="4"/>
      <c r="AN19" s="5"/>
    </row>
    <row r="20" spans="1:40" ht="19.899999999999999" customHeight="1">
      <c r="A20" s="10">
        <v>20102036</v>
      </c>
      <c r="B20" s="8">
        <v>17</v>
      </c>
      <c r="C20" s="8" t="s">
        <v>155</v>
      </c>
      <c r="D20" s="41">
        <v>93</v>
      </c>
      <c r="E20" s="10">
        <v>20230296</v>
      </c>
      <c r="F20" s="8">
        <v>17</v>
      </c>
      <c r="G20" s="8" t="s">
        <v>156</v>
      </c>
      <c r="H20" s="9">
        <v>92</v>
      </c>
      <c r="I20" s="10">
        <v>20220186</v>
      </c>
      <c r="J20" s="8">
        <v>17</v>
      </c>
      <c r="K20" s="8" t="s">
        <v>157</v>
      </c>
      <c r="L20" s="41">
        <v>92</v>
      </c>
      <c r="M20" s="10">
        <v>20190178</v>
      </c>
      <c r="N20" s="8">
        <v>17</v>
      </c>
      <c r="O20" s="8" t="s">
        <v>158</v>
      </c>
      <c r="P20" s="9">
        <v>87</v>
      </c>
      <c r="Q20" s="10">
        <v>20190210</v>
      </c>
      <c r="R20" s="8">
        <v>17</v>
      </c>
      <c r="S20" s="8" t="s">
        <v>159</v>
      </c>
      <c r="T20" s="9">
        <v>93</v>
      </c>
      <c r="U20" s="10">
        <v>20163058</v>
      </c>
      <c r="V20" s="8">
        <v>17</v>
      </c>
      <c r="W20" s="8" t="s">
        <v>160</v>
      </c>
      <c r="X20" s="9">
        <v>88</v>
      </c>
      <c r="Y20" s="10">
        <v>20133029</v>
      </c>
      <c r="Z20" s="8">
        <v>17</v>
      </c>
      <c r="AA20" s="8" t="s">
        <v>161</v>
      </c>
      <c r="AB20" s="40">
        <v>87</v>
      </c>
      <c r="AC20" s="4">
        <v>20102038</v>
      </c>
      <c r="AD20" s="4">
        <v>17</v>
      </c>
      <c r="AE20" s="4" t="s">
        <v>162</v>
      </c>
      <c r="AF20" s="4">
        <v>90</v>
      </c>
      <c r="AG20" s="4">
        <v>20190032</v>
      </c>
      <c r="AH20" s="4">
        <v>17</v>
      </c>
      <c r="AI20" s="4" t="s">
        <v>163</v>
      </c>
      <c r="AJ20" s="4">
        <v>90</v>
      </c>
      <c r="AK20" s="4"/>
      <c r="AL20" s="4"/>
      <c r="AM20" s="4"/>
      <c r="AN20" s="5"/>
    </row>
    <row r="21" spans="1:40" ht="19.899999999999999" customHeight="1">
      <c r="A21" s="10">
        <v>20153044</v>
      </c>
      <c r="B21" s="8">
        <v>18</v>
      </c>
      <c r="C21" s="8" t="s">
        <v>164</v>
      </c>
      <c r="D21" s="41">
        <v>93</v>
      </c>
      <c r="E21" s="10">
        <v>20102019</v>
      </c>
      <c r="F21" s="8">
        <v>18</v>
      </c>
      <c r="G21" s="8" t="s">
        <v>165</v>
      </c>
      <c r="H21" s="9">
        <v>92</v>
      </c>
      <c r="I21" s="10">
        <v>20220068</v>
      </c>
      <c r="J21" s="8">
        <v>18</v>
      </c>
      <c r="K21" s="8" t="s">
        <v>166</v>
      </c>
      <c r="L21" s="41">
        <v>92</v>
      </c>
      <c r="M21" s="10">
        <v>20220063</v>
      </c>
      <c r="N21" s="8">
        <v>18</v>
      </c>
      <c r="O21" s="8" t="s">
        <v>167</v>
      </c>
      <c r="P21" s="9">
        <v>92</v>
      </c>
      <c r="Q21" s="10">
        <v>20230212</v>
      </c>
      <c r="R21" s="8">
        <v>18</v>
      </c>
      <c r="S21" s="8" t="s">
        <v>168</v>
      </c>
      <c r="T21" s="9">
        <v>92</v>
      </c>
      <c r="U21" s="10">
        <v>20102046</v>
      </c>
      <c r="V21" s="8">
        <v>18</v>
      </c>
      <c r="W21" s="8" t="s">
        <v>169</v>
      </c>
      <c r="X21" s="9">
        <v>93</v>
      </c>
      <c r="Y21" s="10">
        <v>20220170</v>
      </c>
      <c r="Z21" s="8">
        <v>18</v>
      </c>
      <c r="AA21" s="8" t="s">
        <v>170</v>
      </c>
      <c r="AB21" s="40">
        <v>90</v>
      </c>
      <c r="AC21" s="4">
        <v>20163041</v>
      </c>
      <c r="AD21" s="4">
        <v>18</v>
      </c>
      <c r="AE21" s="4" t="s">
        <v>171</v>
      </c>
      <c r="AF21" s="4">
        <v>90</v>
      </c>
      <c r="AG21" s="4">
        <v>20102064</v>
      </c>
      <c r="AH21" s="4">
        <v>18</v>
      </c>
      <c r="AI21" s="4" t="s">
        <v>172</v>
      </c>
      <c r="AJ21" s="4">
        <v>93</v>
      </c>
      <c r="AK21" s="4"/>
      <c r="AL21" s="4"/>
      <c r="AM21" s="4"/>
      <c r="AN21" s="5"/>
    </row>
    <row r="22" spans="1:40" ht="19.899999999999999" customHeight="1">
      <c r="A22" s="10">
        <v>20102011</v>
      </c>
      <c r="B22" s="8">
        <v>19</v>
      </c>
      <c r="C22" s="8" t="s">
        <v>174</v>
      </c>
      <c r="D22" s="41">
        <v>90</v>
      </c>
      <c r="E22" s="10">
        <v>20190074</v>
      </c>
      <c r="F22" s="8">
        <v>19</v>
      </c>
      <c r="G22" s="8" t="s">
        <v>175</v>
      </c>
      <c r="H22" s="9">
        <v>92</v>
      </c>
      <c r="I22" s="10">
        <v>20220168</v>
      </c>
      <c r="J22" s="8">
        <v>19</v>
      </c>
      <c r="K22" s="8" t="s">
        <v>176</v>
      </c>
      <c r="L22" s="41">
        <v>92</v>
      </c>
      <c r="M22" s="10">
        <v>20122135</v>
      </c>
      <c r="N22" s="8">
        <v>19</v>
      </c>
      <c r="O22" s="8" t="s">
        <v>177</v>
      </c>
      <c r="P22" s="9">
        <v>90</v>
      </c>
      <c r="Q22" s="10">
        <v>20180120</v>
      </c>
      <c r="R22" s="8">
        <v>19</v>
      </c>
      <c r="S22" s="8" t="s">
        <v>178</v>
      </c>
      <c r="T22" s="9">
        <v>90</v>
      </c>
      <c r="U22" s="10">
        <v>20190104</v>
      </c>
      <c r="V22" s="8">
        <v>19</v>
      </c>
      <c r="W22" s="8" t="s">
        <v>179</v>
      </c>
      <c r="X22" s="9">
        <v>92</v>
      </c>
      <c r="Y22" s="10">
        <v>20190030</v>
      </c>
      <c r="Z22" s="8">
        <v>19</v>
      </c>
      <c r="AA22" s="8" t="s">
        <v>180</v>
      </c>
      <c r="AB22" s="40">
        <v>92</v>
      </c>
      <c r="AC22" s="4">
        <v>20102040</v>
      </c>
      <c r="AD22" s="4">
        <v>19</v>
      </c>
      <c r="AE22" s="4" t="s">
        <v>181</v>
      </c>
      <c r="AF22" s="4">
        <v>93</v>
      </c>
      <c r="AG22" s="4">
        <v>20133014</v>
      </c>
      <c r="AH22" s="4">
        <v>19</v>
      </c>
      <c r="AI22" s="4" t="s">
        <v>182</v>
      </c>
      <c r="AJ22" s="4">
        <v>90</v>
      </c>
      <c r="AK22" s="4"/>
      <c r="AL22" s="4"/>
      <c r="AM22" s="4"/>
      <c r="AN22" s="5"/>
    </row>
    <row r="23" spans="1:40" ht="19.899999999999999" customHeight="1" thickBot="1">
      <c r="A23" s="10">
        <v>20102066</v>
      </c>
      <c r="B23" s="8">
        <v>20</v>
      </c>
      <c r="C23" s="8" t="s">
        <v>183</v>
      </c>
      <c r="D23" s="42">
        <v>88</v>
      </c>
      <c r="E23" s="10">
        <v>20122144</v>
      </c>
      <c r="F23" s="8">
        <v>20</v>
      </c>
      <c r="G23" s="8" t="s">
        <v>184</v>
      </c>
      <c r="H23" s="9">
        <v>93</v>
      </c>
      <c r="I23" s="10">
        <v>20190013</v>
      </c>
      <c r="J23" s="8">
        <v>20</v>
      </c>
      <c r="K23" s="8" t="s">
        <v>185</v>
      </c>
      <c r="L23" s="42">
        <v>92</v>
      </c>
      <c r="M23" s="10">
        <v>20190078</v>
      </c>
      <c r="N23" s="8">
        <v>20</v>
      </c>
      <c r="O23" s="8" t="s">
        <v>186</v>
      </c>
      <c r="P23" s="9">
        <v>92</v>
      </c>
      <c r="Q23" s="10">
        <v>20220100</v>
      </c>
      <c r="R23" s="8">
        <v>20</v>
      </c>
      <c r="S23" s="8" t="s">
        <v>187</v>
      </c>
      <c r="T23" s="9">
        <v>93</v>
      </c>
      <c r="U23" s="10">
        <v>20200169</v>
      </c>
      <c r="V23" s="8">
        <v>20</v>
      </c>
      <c r="W23" s="8" t="s">
        <v>188</v>
      </c>
      <c r="X23" s="9">
        <v>92</v>
      </c>
      <c r="Y23" s="10">
        <v>20143105</v>
      </c>
      <c r="Z23" s="8">
        <v>20</v>
      </c>
      <c r="AA23" s="8" t="s">
        <v>189</v>
      </c>
      <c r="AB23" s="40">
        <v>92</v>
      </c>
      <c r="AC23" s="4">
        <v>20123047</v>
      </c>
      <c r="AD23" s="4">
        <v>20</v>
      </c>
      <c r="AE23" s="4" t="s">
        <v>190</v>
      </c>
      <c r="AF23" s="4">
        <v>90</v>
      </c>
      <c r="AG23" s="4">
        <v>20190007</v>
      </c>
      <c r="AH23" s="4">
        <v>20</v>
      </c>
      <c r="AI23" s="4" t="s">
        <v>191</v>
      </c>
      <c r="AJ23" s="4">
        <v>92</v>
      </c>
      <c r="AK23" s="4"/>
      <c r="AL23" s="4"/>
      <c r="AM23" s="4"/>
      <c r="AN23" s="5"/>
    </row>
    <row r="24" spans="1:40" ht="19.899999999999999" customHeight="1">
      <c r="A24" s="10">
        <v>20220169</v>
      </c>
      <c r="B24" s="8">
        <v>21</v>
      </c>
      <c r="C24" s="8" t="s">
        <v>192</v>
      </c>
      <c r="D24" s="39">
        <v>93</v>
      </c>
      <c r="E24" s="10">
        <v>20190095</v>
      </c>
      <c r="F24" s="8">
        <v>21</v>
      </c>
      <c r="G24" s="8" t="s">
        <v>193</v>
      </c>
      <c r="H24" s="9">
        <v>90</v>
      </c>
      <c r="I24" s="10">
        <v>20102047</v>
      </c>
      <c r="J24" s="8">
        <v>21</v>
      </c>
      <c r="K24" s="8" t="s">
        <v>194</v>
      </c>
      <c r="L24" s="39">
        <v>90</v>
      </c>
      <c r="M24" s="10">
        <v>20220071</v>
      </c>
      <c r="N24" s="8">
        <v>21</v>
      </c>
      <c r="O24" s="8" t="s">
        <v>195</v>
      </c>
      <c r="P24" s="9">
        <v>93</v>
      </c>
      <c r="Q24" s="10">
        <v>20190073</v>
      </c>
      <c r="R24" s="8">
        <v>21</v>
      </c>
      <c r="S24" s="8" t="s">
        <v>196</v>
      </c>
      <c r="T24" s="9">
        <v>90</v>
      </c>
      <c r="U24" s="10">
        <v>20170012</v>
      </c>
      <c r="V24" s="8">
        <v>21</v>
      </c>
      <c r="W24" s="8" t="s">
        <v>197</v>
      </c>
      <c r="X24" s="9">
        <v>95</v>
      </c>
      <c r="Y24" s="10">
        <v>20220056</v>
      </c>
      <c r="Z24" s="8">
        <v>21</v>
      </c>
      <c r="AA24" s="8" t="s">
        <v>198</v>
      </c>
      <c r="AB24" s="40">
        <v>90</v>
      </c>
      <c r="AC24" s="4">
        <v>20143085</v>
      </c>
      <c r="AD24" s="4">
        <v>21</v>
      </c>
      <c r="AE24" s="4" t="s">
        <v>199</v>
      </c>
      <c r="AF24" s="4">
        <v>90</v>
      </c>
      <c r="AG24" s="4">
        <v>20153014</v>
      </c>
      <c r="AH24" s="4">
        <v>21</v>
      </c>
      <c r="AI24" s="4" t="s">
        <v>200</v>
      </c>
      <c r="AJ24" s="4">
        <v>92</v>
      </c>
      <c r="AK24" s="4"/>
      <c r="AL24" s="4"/>
      <c r="AM24" s="4"/>
      <c r="AN24" s="5"/>
    </row>
    <row r="25" spans="1:40" ht="19.899999999999999" customHeight="1">
      <c r="A25" s="10">
        <v>20220080</v>
      </c>
      <c r="B25" s="8">
        <v>22</v>
      </c>
      <c r="C25" s="8" t="s">
        <v>201</v>
      </c>
      <c r="D25" s="41">
        <v>90</v>
      </c>
      <c r="E25" s="10">
        <v>20190066</v>
      </c>
      <c r="F25" s="8">
        <v>22</v>
      </c>
      <c r="G25" s="8" t="s">
        <v>202</v>
      </c>
      <c r="H25" s="9">
        <v>92</v>
      </c>
      <c r="I25" s="10">
        <v>20190075</v>
      </c>
      <c r="J25" s="8">
        <v>22</v>
      </c>
      <c r="K25" s="8" t="s">
        <v>203</v>
      </c>
      <c r="L25" s="41">
        <v>90</v>
      </c>
      <c r="M25" s="10">
        <v>20190008</v>
      </c>
      <c r="N25" s="8">
        <v>22</v>
      </c>
      <c r="O25" s="8" t="s">
        <v>204</v>
      </c>
      <c r="P25" s="9">
        <v>87</v>
      </c>
      <c r="Q25" s="10">
        <v>20133021</v>
      </c>
      <c r="R25" s="8">
        <v>22</v>
      </c>
      <c r="S25" s="8" t="s">
        <v>205</v>
      </c>
      <c r="T25" s="9">
        <v>90</v>
      </c>
      <c r="U25" s="10">
        <v>20190017</v>
      </c>
      <c r="V25" s="8">
        <v>22</v>
      </c>
      <c r="W25" s="8" t="s">
        <v>206</v>
      </c>
      <c r="X25" s="9">
        <v>88</v>
      </c>
      <c r="Y25" s="10">
        <v>20153058</v>
      </c>
      <c r="Z25" s="8">
        <v>22</v>
      </c>
      <c r="AA25" s="8" t="s">
        <v>207</v>
      </c>
      <c r="AB25" s="40">
        <v>93</v>
      </c>
      <c r="AC25" s="4">
        <v>20230215</v>
      </c>
      <c r="AD25" s="4">
        <v>22</v>
      </c>
      <c r="AE25" s="4" t="s">
        <v>208</v>
      </c>
      <c r="AF25" s="4">
        <v>90</v>
      </c>
      <c r="AG25" s="4">
        <v>20153076</v>
      </c>
      <c r="AH25" s="4">
        <v>22</v>
      </c>
      <c r="AI25" s="4" t="s">
        <v>209</v>
      </c>
      <c r="AJ25" s="4">
        <v>93</v>
      </c>
      <c r="AK25" s="4"/>
      <c r="AL25" s="4"/>
      <c r="AM25" s="4"/>
      <c r="AN25" s="5"/>
    </row>
    <row r="26" spans="1:40" ht="19.899999999999999" customHeight="1">
      <c r="A26" s="10">
        <v>20102020</v>
      </c>
      <c r="B26" s="8">
        <v>23</v>
      </c>
      <c r="C26" s="8" t="s">
        <v>210</v>
      </c>
      <c r="D26" s="41">
        <v>90</v>
      </c>
      <c r="E26" s="10">
        <v>20220191</v>
      </c>
      <c r="F26" s="8">
        <v>23</v>
      </c>
      <c r="G26" s="8" t="s">
        <v>211</v>
      </c>
      <c r="H26" s="9">
        <v>92</v>
      </c>
      <c r="I26" s="10">
        <v>20220096</v>
      </c>
      <c r="J26" s="8">
        <v>23</v>
      </c>
      <c r="K26" s="8" t="s">
        <v>212</v>
      </c>
      <c r="L26" s="41">
        <v>92</v>
      </c>
      <c r="M26" s="10">
        <v>20102053</v>
      </c>
      <c r="N26" s="8">
        <v>23</v>
      </c>
      <c r="O26" s="8" t="s">
        <v>213</v>
      </c>
      <c r="P26" s="9">
        <v>87</v>
      </c>
      <c r="Q26" s="10">
        <v>20122142</v>
      </c>
      <c r="R26" s="8">
        <v>23</v>
      </c>
      <c r="S26" s="8" t="s">
        <v>214</v>
      </c>
      <c r="T26" s="9">
        <v>92</v>
      </c>
      <c r="U26" s="10">
        <v>20190096</v>
      </c>
      <c r="V26" s="8">
        <v>23</v>
      </c>
      <c r="W26" s="8" t="s">
        <v>215</v>
      </c>
      <c r="X26" s="9">
        <v>90</v>
      </c>
      <c r="Y26" s="10">
        <v>20190206</v>
      </c>
      <c r="Z26" s="8">
        <v>23</v>
      </c>
      <c r="AA26" s="8" t="s">
        <v>216</v>
      </c>
      <c r="AB26" s="40">
        <v>90</v>
      </c>
      <c r="AC26" s="4">
        <v>20190102</v>
      </c>
      <c r="AD26" s="4">
        <v>23</v>
      </c>
      <c r="AE26" s="4" t="s">
        <v>217</v>
      </c>
      <c r="AF26" s="4">
        <v>92</v>
      </c>
      <c r="AG26" s="4">
        <v>20102045</v>
      </c>
      <c r="AH26" s="4">
        <v>23</v>
      </c>
      <c r="AI26" s="4" t="s">
        <v>218</v>
      </c>
      <c r="AJ26" s="4">
        <v>88</v>
      </c>
      <c r="AK26" s="4"/>
      <c r="AL26" s="4"/>
      <c r="AM26" s="4"/>
      <c r="AN26" s="5"/>
    </row>
    <row r="27" spans="1:40" ht="19.899999999999999" customHeight="1">
      <c r="A27" s="10">
        <v>20230335</v>
      </c>
      <c r="B27" s="8">
        <v>24</v>
      </c>
      <c r="C27" s="8" t="s">
        <v>219</v>
      </c>
      <c r="D27" s="41">
        <v>92</v>
      </c>
      <c r="E27" s="10">
        <v>20173026</v>
      </c>
      <c r="F27" s="8">
        <v>24</v>
      </c>
      <c r="G27" s="8" t="s">
        <v>220</v>
      </c>
      <c r="H27" s="9">
        <v>93</v>
      </c>
      <c r="I27" s="10">
        <v>20220077</v>
      </c>
      <c r="J27" s="8">
        <v>24</v>
      </c>
      <c r="K27" s="8" t="s">
        <v>221</v>
      </c>
      <c r="L27" s="41">
        <v>92</v>
      </c>
      <c r="M27" s="10">
        <v>20200188</v>
      </c>
      <c r="N27" s="8">
        <v>24</v>
      </c>
      <c r="O27" s="8" t="s">
        <v>222</v>
      </c>
      <c r="P27" s="9">
        <v>88</v>
      </c>
      <c r="Q27" s="10">
        <v>20163082</v>
      </c>
      <c r="R27" s="8">
        <v>24</v>
      </c>
      <c r="S27" s="8" t="s">
        <v>223</v>
      </c>
      <c r="T27" s="9">
        <v>93</v>
      </c>
      <c r="U27" s="10">
        <v>20163074</v>
      </c>
      <c r="V27" s="8">
        <v>24</v>
      </c>
      <c r="W27" s="8" t="s">
        <v>224</v>
      </c>
      <c r="X27" s="9">
        <v>92</v>
      </c>
      <c r="Y27" s="10">
        <v>20210195</v>
      </c>
      <c r="Z27" s="8">
        <v>24</v>
      </c>
      <c r="AA27" s="8" t="s">
        <v>225</v>
      </c>
      <c r="AB27" s="40">
        <v>87</v>
      </c>
      <c r="AC27" s="4">
        <v>20190051</v>
      </c>
      <c r="AD27" s="4">
        <v>24</v>
      </c>
      <c r="AE27" s="4" t="s">
        <v>226</v>
      </c>
      <c r="AF27" s="4">
        <v>92</v>
      </c>
      <c r="AG27" s="4">
        <v>20102016</v>
      </c>
      <c r="AH27" s="4">
        <v>24</v>
      </c>
      <c r="AI27" s="4" t="s">
        <v>173</v>
      </c>
      <c r="AJ27" s="4">
        <v>88</v>
      </c>
      <c r="AK27" s="4"/>
      <c r="AL27" s="4"/>
      <c r="AM27" s="4"/>
      <c r="AN27" s="5"/>
    </row>
    <row r="28" spans="1:40" ht="19.899999999999999" customHeight="1" thickBot="1">
      <c r="A28" s="10">
        <v>20102077</v>
      </c>
      <c r="B28" s="8">
        <v>25</v>
      </c>
      <c r="C28" s="8" t="s">
        <v>227</v>
      </c>
      <c r="D28" s="42">
        <v>90</v>
      </c>
      <c r="E28" s="10">
        <v>20143113</v>
      </c>
      <c r="F28" s="8">
        <v>25</v>
      </c>
      <c r="G28" s="8" t="s">
        <v>228</v>
      </c>
      <c r="H28" s="7">
        <v>92</v>
      </c>
      <c r="I28" s="10">
        <v>20102022</v>
      </c>
      <c r="J28" s="8">
        <v>25</v>
      </c>
      <c r="K28" s="8" t="s">
        <v>229</v>
      </c>
      <c r="L28" s="42">
        <v>93</v>
      </c>
      <c r="M28" s="10">
        <v>20230345</v>
      </c>
      <c r="N28" s="8">
        <v>25</v>
      </c>
      <c r="O28" s="8" t="s">
        <v>230</v>
      </c>
      <c r="P28" s="7">
        <v>92</v>
      </c>
      <c r="Q28" s="10">
        <v>20102024</v>
      </c>
      <c r="R28" s="8">
        <v>25</v>
      </c>
      <c r="S28" s="8" t="s">
        <v>231</v>
      </c>
      <c r="T28" s="7">
        <v>92</v>
      </c>
      <c r="U28" s="10">
        <v>20190034</v>
      </c>
      <c r="V28" s="8">
        <v>25</v>
      </c>
      <c r="W28" s="8" t="s">
        <v>232</v>
      </c>
      <c r="X28" s="7">
        <v>90</v>
      </c>
      <c r="Y28" s="10">
        <v>20123048</v>
      </c>
      <c r="Z28" s="8">
        <v>25</v>
      </c>
      <c r="AA28" s="8" t="s">
        <v>233</v>
      </c>
      <c r="AB28" s="40">
        <v>88</v>
      </c>
      <c r="AC28" s="4">
        <v>20102071</v>
      </c>
      <c r="AD28" s="4">
        <v>25</v>
      </c>
      <c r="AE28" s="4" t="s">
        <v>234</v>
      </c>
      <c r="AF28" s="4">
        <v>0</v>
      </c>
      <c r="AG28" s="4">
        <v>20190064</v>
      </c>
      <c r="AH28" s="4">
        <v>25</v>
      </c>
      <c r="AI28" s="4" t="s">
        <v>235</v>
      </c>
      <c r="AJ28" s="4">
        <v>90</v>
      </c>
      <c r="AK28" s="4"/>
      <c r="AL28" s="4"/>
      <c r="AM28" s="4"/>
      <c r="AN28" s="5"/>
    </row>
    <row r="29" spans="1:40" ht="19.899999999999999" customHeight="1">
      <c r="A29" s="11">
        <v>20173023</v>
      </c>
      <c r="B29" s="4">
        <v>26</v>
      </c>
      <c r="C29" s="6" t="s">
        <v>236</v>
      </c>
      <c r="D29" s="39">
        <v>90</v>
      </c>
      <c r="E29" s="11">
        <v>20133024</v>
      </c>
      <c r="F29" s="4">
        <v>26</v>
      </c>
      <c r="G29" s="6" t="s">
        <v>237</v>
      </c>
      <c r="H29" s="7">
        <v>93</v>
      </c>
      <c r="I29" s="11">
        <v>20163081</v>
      </c>
      <c r="J29" s="4">
        <v>26</v>
      </c>
      <c r="K29" s="6" t="s">
        <v>238</v>
      </c>
      <c r="L29" s="39">
        <v>93</v>
      </c>
      <c r="M29" s="11">
        <v>20240363</v>
      </c>
      <c r="N29" s="4">
        <v>26</v>
      </c>
      <c r="O29" s="6" t="s">
        <v>239</v>
      </c>
      <c r="P29" s="7">
        <v>88</v>
      </c>
      <c r="Q29" s="11">
        <v>20210222</v>
      </c>
      <c r="R29" s="4">
        <v>26</v>
      </c>
      <c r="S29" s="6" t="s">
        <v>240</v>
      </c>
      <c r="T29" s="7">
        <v>92</v>
      </c>
      <c r="U29" s="11">
        <v>20122136</v>
      </c>
      <c r="V29" s="4">
        <v>26</v>
      </c>
      <c r="W29" s="6" t="s">
        <v>241</v>
      </c>
      <c r="X29" s="7">
        <v>80</v>
      </c>
      <c r="Y29" s="11">
        <v>20180027</v>
      </c>
      <c r="Z29" s="4">
        <v>26</v>
      </c>
      <c r="AA29" s="6" t="s">
        <v>242</v>
      </c>
      <c r="AB29" s="40">
        <v>90</v>
      </c>
      <c r="AC29" s="4">
        <v>20190027</v>
      </c>
      <c r="AD29" s="4">
        <v>26</v>
      </c>
      <c r="AE29" s="4" t="s">
        <v>243</v>
      </c>
      <c r="AF29" s="4">
        <v>92</v>
      </c>
      <c r="AG29" s="4">
        <v>20190001</v>
      </c>
      <c r="AH29" s="4">
        <v>26</v>
      </c>
      <c r="AI29" s="4" t="s">
        <v>244</v>
      </c>
      <c r="AJ29" s="4">
        <v>90</v>
      </c>
      <c r="AK29" s="4"/>
      <c r="AL29" s="4"/>
      <c r="AM29" s="4"/>
      <c r="AN29" s="5"/>
    </row>
    <row r="30" spans="1:40" ht="19.899999999999999" customHeight="1">
      <c r="A30" s="11">
        <v>20190041</v>
      </c>
      <c r="B30" s="4">
        <v>27</v>
      </c>
      <c r="C30" s="6" t="s">
        <v>245</v>
      </c>
      <c r="D30" s="41">
        <v>90</v>
      </c>
      <c r="E30" s="11">
        <v>20220120</v>
      </c>
      <c r="F30" s="4">
        <v>27</v>
      </c>
      <c r="G30" s="6" t="s">
        <v>246</v>
      </c>
      <c r="H30" s="7">
        <v>92</v>
      </c>
      <c r="I30" s="11">
        <v>20220095</v>
      </c>
      <c r="J30" s="4">
        <v>27</v>
      </c>
      <c r="K30" s="6" t="s">
        <v>247</v>
      </c>
      <c r="L30" s="41">
        <v>92</v>
      </c>
      <c r="M30" s="11"/>
      <c r="N30" s="4"/>
      <c r="O30" s="6"/>
      <c r="P30" s="7"/>
      <c r="Q30" s="11">
        <v>20220089</v>
      </c>
      <c r="R30" s="4">
        <v>27</v>
      </c>
      <c r="S30" s="6" t="s">
        <v>248</v>
      </c>
      <c r="T30" s="7">
        <v>90</v>
      </c>
      <c r="U30" s="11">
        <v>20190093</v>
      </c>
      <c r="V30" s="4">
        <v>27</v>
      </c>
      <c r="W30" s="6" t="s">
        <v>249</v>
      </c>
      <c r="X30" s="7">
        <v>98</v>
      </c>
      <c r="Y30" s="11">
        <v>20190215</v>
      </c>
      <c r="Z30" s="4">
        <v>27</v>
      </c>
      <c r="AA30" s="6" t="s">
        <v>250</v>
      </c>
      <c r="AB30" s="40">
        <v>90</v>
      </c>
      <c r="AC30" s="4">
        <v>20133019</v>
      </c>
      <c r="AD30" s="4">
        <v>27</v>
      </c>
      <c r="AE30" s="4" t="s">
        <v>251</v>
      </c>
      <c r="AF30" s="4">
        <v>93</v>
      </c>
      <c r="AG30" s="4">
        <v>20210259</v>
      </c>
      <c r="AH30" s="4">
        <v>27</v>
      </c>
      <c r="AI30" s="4" t="s">
        <v>252</v>
      </c>
      <c r="AJ30" s="4">
        <v>92</v>
      </c>
      <c r="AK30" s="4"/>
      <c r="AL30" s="4"/>
      <c r="AM30" s="4"/>
      <c r="AN30" s="5"/>
    </row>
    <row r="31" spans="1:40" ht="19.899999999999999" customHeight="1">
      <c r="A31" s="11">
        <v>20220054</v>
      </c>
      <c r="B31" s="4">
        <v>28</v>
      </c>
      <c r="C31" s="6" t="s">
        <v>253</v>
      </c>
      <c r="D31" s="41">
        <v>90</v>
      </c>
      <c r="E31" s="11"/>
      <c r="F31" s="4"/>
      <c r="G31" s="6"/>
      <c r="H31" s="7"/>
      <c r="I31" s="11"/>
      <c r="J31" s="4"/>
      <c r="K31" s="6"/>
      <c r="L31" s="7"/>
      <c r="M31" s="11"/>
      <c r="N31" s="4"/>
      <c r="O31" s="6"/>
      <c r="P31" s="7"/>
      <c r="Q31" s="11"/>
      <c r="R31" s="4"/>
      <c r="S31" s="6"/>
      <c r="T31" s="7"/>
      <c r="U31" s="11">
        <v>20220098</v>
      </c>
      <c r="V31" s="4">
        <v>28</v>
      </c>
      <c r="W31" s="6" t="s">
        <v>254</v>
      </c>
      <c r="X31" s="7">
        <v>93</v>
      </c>
      <c r="Y31" s="11">
        <v>20220151</v>
      </c>
      <c r="Z31" s="4">
        <v>28</v>
      </c>
      <c r="AA31" s="6" t="s">
        <v>255</v>
      </c>
      <c r="AB31" s="40">
        <v>87</v>
      </c>
      <c r="AC31" s="4">
        <v>20190039</v>
      </c>
      <c r="AD31" s="4">
        <v>28</v>
      </c>
      <c r="AE31" s="4" t="s">
        <v>256</v>
      </c>
      <c r="AF31" s="4">
        <v>92</v>
      </c>
      <c r="AG31" s="4">
        <v>20102021</v>
      </c>
      <c r="AH31" s="4">
        <v>28</v>
      </c>
      <c r="AI31" s="4" t="s">
        <v>257</v>
      </c>
      <c r="AJ31" s="4">
        <v>90</v>
      </c>
      <c r="AK31" s="4"/>
      <c r="AL31" s="4"/>
      <c r="AM31" s="4"/>
      <c r="AN31" s="5"/>
    </row>
    <row r="32" spans="1:40" ht="19.899999999999999" customHeight="1">
      <c r="A32" s="11"/>
      <c r="B32" s="4"/>
      <c r="C32" s="6"/>
      <c r="D32" s="7"/>
      <c r="E32" s="11"/>
      <c r="F32" s="4"/>
      <c r="G32" s="6"/>
      <c r="H32" s="7"/>
      <c r="I32" s="11"/>
      <c r="J32" s="4"/>
      <c r="K32" s="6"/>
      <c r="L32" s="7"/>
      <c r="M32" s="11"/>
      <c r="N32" s="4"/>
      <c r="O32" s="6"/>
      <c r="P32" s="7"/>
      <c r="Q32" s="11"/>
      <c r="R32" s="4"/>
      <c r="S32" s="6"/>
      <c r="T32" s="7"/>
      <c r="U32" s="11">
        <v>20190077</v>
      </c>
      <c r="V32" s="4">
        <v>29</v>
      </c>
      <c r="W32" s="6" t="s">
        <v>258</v>
      </c>
      <c r="X32" s="7">
        <v>92</v>
      </c>
      <c r="Y32" s="11">
        <v>20190002</v>
      </c>
      <c r="Z32" s="4">
        <v>29</v>
      </c>
      <c r="AA32" s="6" t="s">
        <v>259</v>
      </c>
      <c r="AB32" s="40">
        <v>88</v>
      </c>
      <c r="AC32" s="4">
        <v>20210268</v>
      </c>
      <c r="AD32" s="4">
        <v>29</v>
      </c>
      <c r="AE32" s="4" t="s">
        <v>260</v>
      </c>
      <c r="AF32" s="4">
        <v>92</v>
      </c>
      <c r="AG32" s="4">
        <v>20190223</v>
      </c>
      <c r="AH32" s="4">
        <v>29</v>
      </c>
      <c r="AI32" s="4" t="s">
        <v>261</v>
      </c>
      <c r="AJ32" s="4">
        <v>90</v>
      </c>
      <c r="AK32" s="4"/>
      <c r="AL32" s="4"/>
      <c r="AM32" s="4"/>
      <c r="AN32" s="5"/>
    </row>
    <row r="33" spans="1:40" ht="19.899999999999999" customHeight="1">
      <c r="A33" s="11"/>
      <c r="B33" s="4"/>
      <c r="C33" s="6"/>
      <c r="D33" s="7"/>
      <c r="E33" s="11"/>
      <c r="F33" s="4"/>
      <c r="G33" s="6"/>
      <c r="H33" s="7"/>
      <c r="I33" s="11"/>
      <c r="J33" s="4"/>
      <c r="K33" s="6"/>
      <c r="L33" s="7"/>
      <c r="M33" s="11"/>
      <c r="N33" s="4"/>
      <c r="O33" s="6"/>
      <c r="P33" s="7"/>
      <c r="Q33" s="11"/>
      <c r="R33" s="4"/>
      <c r="S33" s="6"/>
      <c r="T33" s="7"/>
      <c r="U33" s="11">
        <v>20190031</v>
      </c>
      <c r="V33" s="4">
        <v>30</v>
      </c>
      <c r="W33" s="6" t="s">
        <v>262</v>
      </c>
      <c r="X33" s="7">
        <v>98</v>
      </c>
      <c r="Y33" s="11">
        <v>20102079</v>
      </c>
      <c r="Z33" s="4">
        <v>30</v>
      </c>
      <c r="AA33" s="6" t="s">
        <v>263</v>
      </c>
      <c r="AB33" s="40">
        <v>92</v>
      </c>
      <c r="AC33" s="4">
        <v>20133025</v>
      </c>
      <c r="AD33" s="4">
        <v>30</v>
      </c>
      <c r="AE33" s="4" t="s">
        <v>264</v>
      </c>
      <c r="AF33" s="4">
        <v>90</v>
      </c>
      <c r="AG33" s="4">
        <v>20190023</v>
      </c>
      <c r="AH33" s="4">
        <v>30</v>
      </c>
      <c r="AI33" s="4" t="s">
        <v>265</v>
      </c>
      <c r="AJ33" s="4">
        <v>90</v>
      </c>
      <c r="AK33" s="4"/>
      <c r="AL33" s="4"/>
      <c r="AM33" s="4"/>
      <c r="AN33" s="5"/>
    </row>
    <row r="34" spans="1:40" ht="19.899999999999999" customHeight="1">
      <c r="A34" s="11"/>
      <c r="B34" s="4"/>
      <c r="C34" s="6"/>
      <c r="D34" s="7"/>
      <c r="E34" s="11"/>
      <c r="F34" s="4"/>
      <c r="G34" s="6"/>
      <c r="H34" s="7"/>
      <c r="I34" s="11"/>
      <c r="J34" s="4"/>
      <c r="K34" s="6"/>
      <c r="L34" s="7"/>
      <c r="M34" s="11"/>
      <c r="N34" s="4"/>
      <c r="O34" s="6"/>
      <c r="P34" s="7"/>
      <c r="Q34" s="11"/>
      <c r="R34" s="4"/>
      <c r="S34" s="6"/>
      <c r="T34" s="7"/>
      <c r="U34" s="11">
        <v>20102054</v>
      </c>
      <c r="V34" s="4">
        <v>31</v>
      </c>
      <c r="W34" s="6" t="s">
        <v>266</v>
      </c>
      <c r="X34" s="7">
        <v>90</v>
      </c>
      <c r="Y34" s="11">
        <v>20143082</v>
      </c>
      <c r="Z34" s="4">
        <v>31</v>
      </c>
      <c r="AA34" s="6" t="s">
        <v>267</v>
      </c>
      <c r="AB34" s="40">
        <v>90</v>
      </c>
      <c r="AC34" s="4">
        <v>20210183</v>
      </c>
      <c r="AD34" s="4">
        <v>31</v>
      </c>
      <c r="AE34" s="4" t="s">
        <v>268</v>
      </c>
      <c r="AF34" s="4">
        <v>92</v>
      </c>
      <c r="AG34" s="4">
        <v>20102023</v>
      </c>
      <c r="AH34" s="4">
        <v>31</v>
      </c>
      <c r="AI34" s="4" t="s">
        <v>269</v>
      </c>
      <c r="AJ34" s="4">
        <v>93</v>
      </c>
      <c r="AK34" s="4"/>
      <c r="AL34" s="4"/>
      <c r="AM34" s="4"/>
      <c r="AN34" s="5"/>
    </row>
    <row r="35" spans="1:40" ht="19.899999999999999" customHeight="1">
      <c r="A35" s="11"/>
      <c r="B35" s="4"/>
      <c r="C35" s="6"/>
      <c r="D35" s="7"/>
      <c r="E35" s="11"/>
      <c r="F35" s="4"/>
      <c r="G35" s="6"/>
      <c r="H35" s="7"/>
      <c r="I35" s="11"/>
      <c r="J35" s="4"/>
      <c r="K35" s="6"/>
      <c r="L35" s="7"/>
      <c r="M35" s="11"/>
      <c r="N35" s="4"/>
      <c r="O35" s="6"/>
      <c r="P35" s="7"/>
      <c r="Q35" s="11"/>
      <c r="R35" s="4"/>
      <c r="S35" s="6"/>
      <c r="T35" s="7"/>
      <c r="U35" s="11">
        <v>20190202</v>
      </c>
      <c r="V35" s="4">
        <v>32</v>
      </c>
      <c r="W35" s="6" t="s">
        <v>270</v>
      </c>
      <c r="X35" s="7">
        <v>88</v>
      </c>
      <c r="Y35" s="11">
        <v>20102055</v>
      </c>
      <c r="Z35" s="4">
        <v>32</v>
      </c>
      <c r="AA35" s="6" t="s">
        <v>271</v>
      </c>
      <c r="AB35" s="40">
        <v>90</v>
      </c>
      <c r="AC35" s="4">
        <v>20153057</v>
      </c>
      <c r="AD35" s="4">
        <v>32</v>
      </c>
      <c r="AE35" s="4" t="s">
        <v>272</v>
      </c>
      <c r="AF35" s="4">
        <v>92</v>
      </c>
      <c r="AG35" s="4">
        <v>20210220</v>
      </c>
      <c r="AH35" s="4">
        <v>32</v>
      </c>
      <c r="AI35" s="4" t="s">
        <v>273</v>
      </c>
      <c r="AJ35" s="4">
        <v>93</v>
      </c>
      <c r="AK35" s="4"/>
      <c r="AL35" s="4"/>
      <c r="AM35" s="4"/>
      <c r="AN35" s="5"/>
    </row>
    <row r="36" spans="1:40" ht="19.899999999999999" customHeight="1">
      <c r="A36" s="11"/>
      <c r="B36" s="4"/>
      <c r="C36" s="6"/>
      <c r="D36" s="7"/>
      <c r="E36" s="11"/>
      <c r="F36" s="4"/>
      <c r="G36" s="6"/>
      <c r="H36" s="7"/>
      <c r="I36" s="11"/>
      <c r="J36" s="4"/>
      <c r="K36" s="6"/>
      <c r="L36" s="7"/>
      <c r="M36" s="11"/>
      <c r="N36" s="4"/>
      <c r="O36" s="6"/>
      <c r="P36" s="7"/>
      <c r="Q36" s="11"/>
      <c r="R36" s="4"/>
      <c r="S36" s="6"/>
      <c r="T36" s="7"/>
      <c r="U36" s="11">
        <v>20220067</v>
      </c>
      <c r="V36" s="4">
        <v>33</v>
      </c>
      <c r="W36" s="6" t="s">
        <v>274</v>
      </c>
      <c r="X36" s="7">
        <v>90</v>
      </c>
      <c r="Y36" s="11">
        <v>20200213</v>
      </c>
      <c r="Z36" s="4">
        <v>33</v>
      </c>
      <c r="AA36" s="6" t="s">
        <v>275</v>
      </c>
      <c r="AB36" s="40">
        <v>93</v>
      </c>
      <c r="AC36" s="4">
        <v>20190045</v>
      </c>
      <c r="AD36" s="4">
        <v>33</v>
      </c>
      <c r="AE36" s="4" t="s">
        <v>276</v>
      </c>
      <c r="AF36" s="4">
        <v>93</v>
      </c>
      <c r="AG36" s="4">
        <v>20210264</v>
      </c>
      <c r="AH36" s="4">
        <v>33</v>
      </c>
      <c r="AI36" s="4" t="s">
        <v>277</v>
      </c>
      <c r="AJ36" s="4">
        <v>90</v>
      </c>
      <c r="AK36" s="4"/>
      <c r="AL36" s="4"/>
      <c r="AM36" s="4"/>
      <c r="AN36" s="5"/>
    </row>
    <row r="37" spans="1:40" ht="19.899999999999999" customHeight="1">
      <c r="A37" s="11"/>
      <c r="B37" s="4"/>
      <c r="C37" s="6"/>
      <c r="D37" s="7"/>
      <c r="E37" s="11"/>
      <c r="F37" s="4"/>
      <c r="G37" s="6"/>
      <c r="H37" s="7"/>
      <c r="I37" s="11"/>
      <c r="J37" s="4"/>
      <c r="K37" s="6"/>
      <c r="L37" s="7"/>
      <c r="M37" s="11"/>
      <c r="N37" s="4"/>
      <c r="O37" s="6"/>
      <c r="P37" s="7"/>
      <c r="Q37" s="11"/>
      <c r="R37" s="4"/>
      <c r="S37" s="6"/>
      <c r="T37" s="7"/>
      <c r="U37" s="11"/>
      <c r="V37" s="4"/>
      <c r="W37" s="6"/>
      <c r="X37" s="7"/>
      <c r="Y37" s="11">
        <v>20180070</v>
      </c>
      <c r="Z37" s="4">
        <v>34</v>
      </c>
      <c r="AA37" s="6" t="s">
        <v>278</v>
      </c>
      <c r="AB37" s="40">
        <v>88</v>
      </c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4">
        <v>93</v>
      </c>
      <c r="AK37" s="4"/>
      <c r="AL37" s="4"/>
      <c r="AM37" s="4"/>
      <c r="AN37" s="5"/>
    </row>
    <row r="38" spans="1:40" ht="19.899999999999999" customHeight="1">
      <c r="A38" s="11"/>
      <c r="B38" s="4"/>
      <c r="C38" s="6"/>
      <c r="D38" s="7"/>
      <c r="E38" s="11"/>
      <c r="F38" s="4"/>
      <c r="G38" s="6"/>
      <c r="H38" s="7"/>
      <c r="I38" s="11"/>
      <c r="J38" s="4"/>
      <c r="K38" s="6"/>
      <c r="L38" s="7"/>
      <c r="M38" s="11"/>
      <c r="N38" s="4"/>
      <c r="O38" s="6"/>
      <c r="P38" s="7"/>
      <c r="Q38" s="11"/>
      <c r="R38" s="4"/>
      <c r="S38" s="6"/>
      <c r="T38" s="7"/>
      <c r="U38" s="11"/>
      <c r="V38" s="4"/>
      <c r="W38" s="6"/>
      <c r="X38" s="7"/>
      <c r="Y38" s="11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5"/>
      <c r="B39" s="12"/>
      <c r="C39" s="13"/>
      <c r="D39" s="14"/>
      <c r="E39" s="15"/>
      <c r="F39" s="12"/>
      <c r="G39" s="13"/>
      <c r="H39" s="14"/>
      <c r="I39" s="15"/>
      <c r="J39" s="12"/>
      <c r="K39" s="13"/>
      <c r="L39" s="14"/>
      <c r="M39" s="15"/>
      <c r="N39" s="12"/>
      <c r="O39" s="13"/>
      <c r="P39" s="14"/>
      <c r="Q39" s="15"/>
      <c r="R39" s="12"/>
      <c r="S39" s="13"/>
      <c r="T39" s="14"/>
      <c r="U39" s="15"/>
      <c r="V39" s="12"/>
      <c r="W39" s="13"/>
      <c r="X39" s="14"/>
      <c r="Y39" s="15"/>
      <c r="Z39" s="12"/>
      <c r="AA39" s="13"/>
      <c r="AB39" s="14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1:40" ht="16.5" thickTop="1">
      <c r="A40" s="17"/>
      <c r="B40" s="1"/>
      <c r="C40" s="18"/>
      <c r="D40" s="19"/>
      <c r="E40" s="17"/>
      <c r="F40" s="1"/>
      <c r="G40" s="18"/>
      <c r="H40" s="19"/>
      <c r="I40" s="17"/>
      <c r="J40" s="1"/>
      <c r="K40" s="18"/>
      <c r="L40" s="19"/>
      <c r="M40" s="17"/>
      <c r="N40" s="1"/>
      <c r="O40" s="18"/>
      <c r="P40" s="19"/>
      <c r="Q40" s="17"/>
      <c r="R40" s="1"/>
      <c r="S40" s="18"/>
      <c r="T40" s="19"/>
      <c r="U40" s="17"/>
      <c r="V40" s="1"/>
      <c r="W40" s="18"/>
      <c r="X40" s="19"/>
      <c r="Y40" s="17"/>
      <c r="Z40" s="1"/>
      <c r="AA40" s="18"/>
      <c r="AB40" s="19"/>
    </row>
    <row r="41" spans="1:40">
      <c r="A41" s="17"/>
      <c r="B41" s="1"/>
      <c r="C41" s="18"/>
      <c r="D41" s="19"/>
      <c r="E41" s="17"/>
      <c r="F41" s="1"/>
      <c r="G41" s="18"/>
      <c r="H41" s="19"/>
      <c r="I41" s="17"/>
      <c r="J41" s="1"/>
      <c r="K41" s="18"/>
      <c r="L41" s="19"/>
      <c r="M41" s="17"/>
      <c r="N41" s="1"/>
      <c r="O41" s="18"/>
      <c r="P41" s="19"/>
      <c r="Q41" s="17"/>
      <c r="R41" s="1"/>
      <c r="S41" s="18"/>
      <c r="T41" s="19"/>
      <c r="U41" s="17"/>
      <c r="V41" s="1"/>
      <c r="W41" s="18"/>
      <c r="X41" s="19"/>
      <c r="Y41" s="17"/>
      <c r="Z41" s="1"/>
      <c r="AA41" s="18"/>
      <c r="AB41" s="19"/>
    </row>
    <row r="42" spans="1:40" ht="14.85" customHeight="1">
      <c r="A42" s="17"/>
      <c r="B42" s="1"/>
      <c r="C42" s="18"/>
      <c r="D42" s="19"/>
      <c r="E42" s="17"/>
      <c r="F42" s="1"/>
      <c r="G42" s="18"/>
      <c r="H42" s="19"/>
      <c r="I42" s="17"/>
      <c r="J42" s="1"/>
      <c r="K42" s="18"/>
      <c r="L42" s="19"/>
      <c r="M42" s="17"/>
      <c r="N42" s="1"/>
      <c r="O42" s="18"/>
      <c r="P42" s="19"/>
      <c r="Q42" s="17"/>
      <c r="R42" s="1"/>
      <c r="S42" s="18"/>
      <c r="T42" s="19"/>
      <c r="U42" s="17"/>
      <c r="V42" s="1"/>
      <c r="W42" s="18"/>
      <c r="X42" s="19"/>
      <c r="Y42" s="17"/>
      <c r="Z42" s="1"/>
      <c r="AA42" s="18"/>
      <c r="AB42" s="19"/>
    </row>
    <row r="43" spans="1:40" ht="14.85" customHeight="1">
      <c r="A43" s="17"/>
      <c r="B43" s="1"/>
      <c r="C43" s="18"/>
      <c r="D43" s="19"/>
      <c r="E43" s="17"/>
      <c r="F43" s="1"/>
      <c r="G43" s="18" t="s">
        <v>283</v>
      </c>
      <c r="H43" s="19"/>
      <c r="I43" s="17"/>
      <c r="J43" s="1"/>
      <c r="K43" s="18"/>
      <c r="L43" s="19"/>
      <c r="M43" s="17"/>
      <c r="N43" s="1"/>
      <c r="O43" s="18"/>
      <c r="P43" s="19"/>
      <c r="Q43" s="17"/>
      <c r="R43" s="1"/>
      <c r="S43" s="18"/>
      <c r="T43" s="19"/>
      <c r="U43" s="17"/>
      <c r="V43" s="1"/>
      <c r="W43" s="18"/>
      <c r="X43" s="19"/>
      <c r="Y43" s="17"/>
      <c r="Z43" s="1"/>
      <c r="AA43" s="18"/>
      <c r="AB43" s="19"/>
      <c r="AE43" s="18"/>
      <c r="AI43" s="18"/>
    </row>
    <row r="44" spans="1:40" ht="14.85" customHeight="1">
      <c r="A44" s="17"/>
      <c r="B44" s="1"/>
      <c r="C44" s="18"/>
      <c r="D44" s="19"/>
      <c r="E44" s="17"/>
      <c r="F44" s="1"/>
      <c r="G44" s="18" t="s">
        <v>287</v>
      </c>
      <c r="H44" s="19"/>
      <c r="I44" s="17"/>
      <c r="J44" s="1"/>
      <c r="K44" s="18"/>
      <c r="L44" s="19"/>
      <c r="M44" s="17"/>
      <c r="N44" s="1"/>
      <c r="O44" s="18"/>
      <c r="P44" s="19"/>
      <c r="Q44" s="17"/>
      <c r="R44" s="1"/>
      <c r="S44" s="18"/>
      <c r="T44" s="19"/>
      <c r="U44" s="17"/>
      <c r="V44" s="1"/>
      <c r="W44" s="18"/>
      <c r="X44" s="19"/>
      <c r="Y44" s="17"/>
      <c r="Z44" s="1"/>
      <c r="AA44" s="18"/>
      <c r="AB44" s="19"/>
    </row>
    <row r="45" spans="1:40" ht="14.85" customHeight="1">
      <c r="A45" s="17"/>
      <c r="B45" s="1"/>
      <c r="C45" s="18"/>
      <c r="D45" s="19"/>
      <c r="E45" s="17"/>
      <c r="F45" s="1"/>
      <c r="G45" s="18" t="s">
        <v>288</v>
      </c>
      <c r="H45" s="19"/>
      <c r="I45" s="17"/>
      <c r="J45" s="1"/>
      <c r="K45" s="18"/>
      <c r="L45" s="19"/>
      <c r="M45" s="17"/>
      <c r="N45" s="1"/>
      <c r="O45" s="18"/>
      <c r="P45" s="19"/>
      <c r="Q45" s="17"/>
      <c r="R45" s="1"/>
      <c r="S45" s="18"/>
      <c r="T45" s="19"/>
      <c r="U45" s="17"/>
      <c r="V45" s="1"/>
      <c r="W45" s="18"/>
      <c r="X45" s="19"/>
      <c r="Y45" s="17"/>
      <c r="Z45" s="1"/>
      <c r="AA45" s="18"/>
      <c r="AB45" s="19"/>
    </row>
    <row r="46" spans="1:40" ht="14.85" customHeight="1">
      <c r="A46" s="17"/>
      <c r="B46" s="1"/>
      <c r="C46" s="18"/>
      <c r="D46" s="19"/>
      <c r="E46" s="17"/>
      <c r="F46" s="1"/>
      <c r="G46" s="18" t="s">
        <v>289</v>
      </c>
      <c r="H46" s="19"/>
      <c r="I46" s="17"/>
      <c r="J46" s="1"/>
      <c r="K46" s="18"/>
      <c r="L46" s="19"/>
      <c r="M46" s="17"/>
      <c r="N46" s="1"/>
      <c r="O46" s="18"/>
      <c r="P46" s="19"/>
      <c r="Q46" s="17"/>
      <c r="R46" s="1"/>
      <c r="S46" s="18"/>
      <c r="T46" s="19"/>
      <c r="U46" s="17"/>
      <c r="V46" s="1"/>
      <c r="W46" s="18"/>
      <c r="X46" s="19"/>
      <c r="Y46" s="17"/>
      <c r="Z46" s="1"/>
      <c r="AA46" s="18"/>
      <c r="AB46" s="19"/>
    </row>
    <row r="47" spans="1:40" ht="14.85" customHeight="1">
      <c r="A47" s="17"/>
      <c r="B47" s="1"/>
      <c r="C47" s="18"/>
      <c r="D47" s="19"/>
      <c r="E47" s="17"/>
      <c r="F47" s="1"/>
      <c r="G47" s="18" t="s">
        <v>290</v>
      </c>
      <c r="H47" s="19"/>
      <c r="I47" s="17"/>
      <c r="J47" s="1"/>
      <c r="K47" s="18"/>
      <c r="L47" s="19"/>
      <c r="M47" s="17"/>
      <c r="N47" s="1"/>
      <c r="O47" s="18"/>
      <c r="P47" s="19"/>
      <c r="Q47" s="17"/>
      <c r="R47" s="1"/>
      <c r="S47" s="18"/>
      <c r="T47" s="19"/>
      <c r="U47" s="17"/>
      <c r="V47" s="1"/>
      <c r="W47" s="18"/>
      <c r="X47" s="19"/>
      <c r="Y47" s="17"/>
      <c r="Z47" s="1"/>
      <c r="AA47" s="18"/>
      <c r="AB47" s="19"/>
    </row>
    <row r="48" spans="1:40" ht="14.85" customHeight="1">
      <c r="A48" s="17"/>
      <c r="B48" s="1"/>
      <c r="C48" s="18"/>
      <c r="D48" s="19"/>
      <c r="E48" s="17"/>
      <c r="F48" s="1"/>
      <c r="G48" s="18" t="s">
        <v>291</v>
      </c>
      <c r="H48" s="19"/>
      <c r="I48" s="17"/>
      <c r="J48" s="1"/>
      <c r="K48" s="18"/>
      <c r="L48" s="19"/>
      <c r="M48" s="17"/>
      <c r="N48" s="1"/>
      <c r="O48" s="18"/>
      <c r="P48" s="19"/>
      <c r="Q48" s="17"/>
      <c r="R48" s="1"/>
      <c r="S48" s="18"/>
      <c r="T48" s="19"/>
      <c r="U48" s="17"/>
      <c r="V48" s="1"/>
      <c r="W48" s="18"/>
      <c r="X48" s="19"/>
      <c r="Y48" s="17"/>
      <c r="Z48" s="1"/>
      <c r="AA48" s="18"/>
      <c r="AB48" s="19"/>
    </row>
    <row r="49" spans="1:28" ht="14.85" customHeight="1">
      <c r="A49" s="17"/>
      <c r="B49" s="1"/>
      <c r="C49" s="18"/>
      <c r="D49" s="19"/>
      <c r="E49" s="17"/>
      <c r="F49" s="1"/>
      <c r="G49" s="18" t="s">
        <v>292</v>
      </c>
      <c r="H49" s="19"/>
      <c r="I49" s="17"/>
      <c r="J49" s="1"/>
      <c r="K49" s="18"/>
      <c r="L49" s="19"/>
      <c r="M49" s="17"/>
      <c r="N49" s="1"/>
      <c r="O49" s="18"/>
      <c r="P49" s="19"/>
      <c r="Q49" s="17"/>
      <c r="R49" s="1"/>
      <c r="S49" s="18"/>
      <c r="T49" s="19"/>
      <c r="U49" s="17"/>
      <c r="V49" s="1"/>
      <c r="W49" s="18"/>
      <c r="X49" s="19"/>
      <c r="Y49" s="17"/>
      <c r="Z49" s="1"/>
      <c r="AA49" s="18"/>
      <c r="AB49" s="19"/>
    </row>
    <row r="50" spans="1:28" ht="14.85" customHeight="1">
      <c r="A50" s="17"/>
      <c r="B50" s="1"/>
      <c r="C50" s="18"/>
      <c r="D50" s="19"/>
      <c r="E50" s="17"/>
      <c r="F50" s="1"/>
      <c r="G50" s="18" t="s">
        <v>293</v>
      </c>
      <c r="H50" s="19"/>
      <c r="I50" s="17"/>
      <c r="J50" s="1"/>
      <c r="K50" s="18"/>
      <c r="L50" s="19"/>
      <c r="M50" s="17"/>
      <c r="N50" s="1"/>
      <c r="O50" s="18"/>
      <c r="P50" s="19"/>
      <c r="Q50" s="17"/>
      <c r="R50" s="1"/>
      <c r="S50" s="18"/>
      <c r="T50" s="19"/>
      <c r="U50" s="17"/>
      <c r="V50" s="1"/>
      <c r="W50" s="18"/>
      <c r="X50" s="19"/>
      <c r="Y50" s="17"/>
      <c r="Z50" s="1"/>
      <c r="AA50" s="18"/>
      <c r="AB50" s="19"/>
    </row>
    <row r="51" spans="1:28" ht="14.85" customHeight="1">
      <c r="A51" s="17"/>
      <c r="B51" s="1"/>
      <c r="C51" s="18"/>
      <c r="D51" s="19"/>
      <c r="E51" s="17"/>
      <c r="F51" s="1"/>
      <c r="G51" s="18" t="s">
        <v>294</v>
      </c>
      <c r="H51" s="19"/>
      <c r="I51" s="17"/>
      <c r="J51" s="1"/>
      <c r="K51" s="18"/>
      <c r="L51" s="19"/>
      <c r="M51" s="17"/>
      <c r="N51" s="1"/>
      <c r="O51" s="18"/>
      <c r="P51" s="19"/>
      <c r="Q51" s="17"/>
      <c r="R51" s="1"/>
      <c r="S51" s="18"/>
      <c r="T51" s="19"/>
      <c r="U51" s="17"/>
      <c r="V51" s="1"/>
      <c r="W51" s="18"/>
      <c r="X51" s="19"/>
      <c r="Y51" s="17"/>
      <c r="Z51" s="1"/>
      <c r="AA51" s="18"/>
      <c r="AB51" s="19"/>
    </row>
    <row r="52" spans="1:28" ht="14.85" customHeight="1">
      <c r="A52" s="17"/>
      <c r="B52" s="1"/>
      <c r="C52" s="18"/>
      <c r="D52" s="19"/>
      <c r="E52" s="17"/>
      <c r="F52" s="1"/>
      <c r="G52" s="18" t="s">
        <v>295</v>
      </c>
      <c r="H52" s="19"/>
      <c r="I52" s="17"/>
      <c r="J52" s="1"/>
      <c r="K52" s="18"/>
      <c r="L52" s="19"/>
      <c r="M52" s="17"/>
      <c r="N52" s="1"/>
      <c r="O52" s="18"/>
      <c r="P52" s="19"/>
      <c r="Q52" s="17"/>
      <c r="R52" s="1"/>
      <c r="S52" s="18"/>
      <c r="T52" s="19"/>
      <c r="U52" s="17"/>
      <c r="V52" s="1"/>
      <c r="W52" s="18"/>
      <c r="X52" s="19"/>
      <c r="Y52" s="17"/>
      <c r="Z52" s="1"/>
      <c r="AA52" s="18"/>
      <c r="AB52" s="19"/>
    </row>
    <row r="53" spans="1:28" ht="14.85" customHeight="1">
      <c r="A53" s="17"/>
      <c r="B53" s="1"/>
      <c r="C53" s="18"/>
      <c r="D53" s="19"/>
      <c r="E53" s="17"/>
      <c r="F53" s="1"/>
      <c r="G53" s="18" t="s">
        <v>296</v>
      </c>
      <c r="H53" s="19"/>
      <c r="I53" s="17"/>
      <c r="J53" s="1"/>
      <c r="K53" s="18"/>
      <c r="L53" s="19"/>
      <c r="M53" s="17"/>
      <c r="N53" s="1"/>
      <c r="O53" s="18"/>
      <c r="P53" s="19"/>
      <c r="Q53" s="17"/>
      <c r="R53" s="1"/>
      <c r="S53" s="18"/>
      <c r="T53" s="19"/>
      <c r="U53" s="17"/>
      <c r="V53" s="1"/>
      <c r="W53" s="18"/>
      <c r="X53" s="19"/>
      <c r="Y53" s="17"/>
      <c r="Z53" s="1"/>
      <c r="AA53" s="18"/>
      <c r="AB53" s="19"/>
    </row>
    <row r="54" spans="1:28" ht="14.85" customHeight="1">
      <c r="A54" s="17"/>
      <c r="B54" s="1"/>
      <c r="C54" s="18"/>
      <c r="D54" s="19"/>
      <c r="E54" s="17"/>
      <c r="F54" s="1"/>
      <c r="G54" s="18"/>
      <c r="H54" s="19"/>
      <c r="I54" s="17"/>
      <c r="J54" s="1"/>
      <c r="K54" s="18"/>
      <c r="L54" s="19"/>
      <c r="M54" s="17"/>
      <c r="N54" s="1"/>
      <c r="O54" s="18"/>
      <c r="P54" s="19"/>
      <c r="Q54" s="17"/>
      <c r="R54" s="1"/>
      <c r="S54" s="18"/>
      <c r="T54" s="19"/>
      <c r="U54" s="17"/>
      <c r="V54" s="1"/>
      <c r="W54" s="18"/>
      <c r="X54" s="19"/>
      <c r="Y54" s="17"/>
      <c r="Z54" s="1"/>
      <c r="AA54" s="18"/>
      <c r="AB54" s="19"/>
    </row>
    <row r="55" spans="1:28" ht="14.85" customHeight="1">
      <c r="A55" s="17"/>
      <c r="B55" s="1"/>
      <c r="C55" s="18"/>
      <c r="D55" s="19"/>
      <c r="E55" s="17"/>
      <c r="F55" s="1"/>
      <c r="G55" s="18"/>
      <c r="H55" s="19"/>
      <c r="I55" s="17"/>
      <c r="J55" s="1"/>
      <c r="K55" s="18"/>
      <c r="L55" s="19"/>
      <c r="M55" s="17"/>
      <c r="N55" s="1"/>
      <c r="O55" s="18"/>
      <c r="P55" s="19"/>
      <c r="Q55" s="17"/>
      <c r="R55" s="1"/>
      <c r="S55" s="18"/>
      <c r="T55" s="19"/>
      <c r="U55" s="17"/>
      <c r="V55" s="1"/>
      <c r="W55" s="18"/>
      <c r="X55" s="19"/>
      <c r="Y55" s="17"/>
      <c r="Z55" s="1"/>
      <c r="AA55" s="18"/>
      <c r="AB55" s="19"/>
    </row>
    <row r="56" spans="1:28" ht="14.85" customHeight="1">
      <c r="A56" s="17"/>
      <c r="B56" s="1"/>
      <c r="C56" s="18"/>
      <c r="D56" s="19"/>
      <c r="E56" s="17"/>
      <c r="F56" s="1"/>
      <c r="G56" s="18"/>
      <c r="H56" s="19"/>
      <c r="I56" s="17"/>
      <c r="J56" s="1"/>
      <c r="K56" s="18"/>
      <c r="L56" s="19"/>
      <c r="M56" s="17"/>
      <c r="N56" s="1"/>
      <c r="O56" s="18"/>
      <c r="P56" s="19"/>
      <c r="Q56" s="17"/>
      <c r="R56" s="1"/>
      <c r="S56" s="18"/>
      <c r="T56" s="19"/>
      <c r="U56" s="17"/>
      <c r="V56" s="1"/>
      <c r="W56" s="18"/>
      <c r="X56" s="19"/>
      <c r="Y56" s="17"/>
      <c r="Z56" s="1"/>
      <c r="AA56" s="18"/>
      <c r="AB56" s="19"/>
    </row>
    <row r="57" spans="1:28" ht="14.85" customHeight="1">
      <c r="A57" s="17"/>
      <c r="B57" s="1"/>
      <c r="C57" s="18"/>
      <c r="D57" s="19"/>
      <c r="E57" s="17"/>
      <c r="F57" s="1"/>
      <c r="G57" s="18"/>
      <c r="H57" s="19"/>
      <c r="I57" s="17"/>
      <c r="J57" s="1"/>
      <c r="K57" s="18"/>
      <c r="L57" s="19"/>
      <c r="M57" s="17"/>
      <c r="N57" s="1"/>
      <c r="O57" s="18"/>
      <c r="P57" s="19"/>
      <c r="Q57" s="17"/>
      <c r="R57" s="1"/>
      <c r="S57" s="18"/>
      <c r="T57" s="19"/>
      <c r="U57" s="17"/>
      <c r="V57" s="1"/>
      <c r="W57" s="18"/>
      <c r="X57" s="19"/>
      <c r="Y57" s="17"/>
      <c r="Z57" s="1"/>
      <c r="AA57" s="18"/>
      <c r="AB57" s="19"/>
    </row>
    <row r="58" spans="1:28" ht="14.85" customHeight="1">
      <c r="A58" s="17"/>
      <c r="B58" s="1"/>
      <c r="C58" s="18"/>
      <c r="D58" s="19"/>
      <c r="E58" s="17"/>
      <c r="F58" s="1"/>
      <c r="G58" s="18"/>
      <c r="H58" s="19"/>
      <c r="I58" s="17"/>
      <c r="J58" s="1"/>
      <c r="K58" s="18"/>
      <c r="L58" s="19"/>
      <c r="M58" s="17"/>
      <c r="N58" s="1"/>
      <c r="O58" s="18"/>
      <c r="P58" s="19"/>
      <c r="Q58" s="17"/>
      <c r="R58" s="1"/>
      <c r="S58" s="18"/>
      <c r="T58" s="19"/>
      <c r="U58" s="17"/>
      <c r="V58" s="1"/>
      <c r="W58" s="18"/>
      <c r="X58" s="19"/>
      <c r="Y58" s="17"/>
      <c r="Z58" s="1"/>
      <c r="AA58" s="18"/>
      <c r="AB58" s="19"/>
    </row>
    <row r="59" spans="1:28" ht="14.85" customHeight="1">
      <c r="A59" s="17"/>
      <c r="B59" s="1"/>
      <c r="C59" s="18"/>
      <c r="D59" s="19"/>
      <c r="E59" s="17"/>
      <c r="F59" s="1"/>
      <c r="G59" s="18"/>
      <c r="H59" s="19"/>
      <c r="I59" s="17"/>
      <c r="J59" s="1"/>
      <c r="K59" s="18"/>
      <c r="L59" s="19"/>
      <c r="M59" s="17"/>
      <c r="N59" s="1"/>
      <c r="O59" s="18"/>
      <c r="P59" s="19"/>
      <c r="Q59" s="17"/>
      <c r="R59" s="1"/>
      <c r="S59" s="18"/>
      <c r="T59" s="19"/>
      <c r="U59" s="17"/>
      <c r="V59" s="1"/>
      <c r="W59" s="18"/>
      <c r="X59" s="19"/>
      <c r="Y59" s="17"/>
      <c r="Z59" s="1"/>
      <c r="AA59" s="18"/>
      <c r="AB59" s="19"/>
    </row>
    <row r="60" spans="1:28" ht="14.85" customHeight="1">
      <c r="A60" s="17"/>
      <c r="B60" s="1"/>
      <c r="C60" s="18"/>
      <c r="D60" s="19"/>
      <c r="E60" s="17"/>
      <c r="F60" s="1"/>
      <c r="G60" s="18"/>
      <c r="H60" s="19"/>
      <c r="I60" s="17"/>
      <c r="J60" s="1"/>
      <c r="K60" s="18"/>
      <c r="L60" s="19"/>
      <c r="M60" s="17"/>
      <c r="N60" s="1"/>
      <c r="O60" s="18"/>
      <c r="P60" s="19"/>
      <c r="Q60" s="17"/>
      <c r="R60" s="1"/>
      <c r="S60" s="18"/>
      <c r="T60" s="19"/>
      <c r="U60" s="17"/>
      <c r="V60" s="1"/>
      <c r="W60" s="18"/>
      <c r="X60" s="19"/>
      <c r="Y60" s="17"/>
      <c r="Z60" s="1"/>
      <c r="AA60" s="18"/>
      <c r="AB60" s="19"/>
    </row>
    <row r="61" spans="1:28" ht="14.85" customHeight="1">
      <c r="A61" s="17"/>
      <c r="B61" s="1"/>
      <c r="C61" s="18"/>
      <c r="D61" s="19"/>
      <c r="E61" s="17"/>
      <c r="F61" s="1"/>
      <c r="G61" s="18"/>
      <c r="H61" s="19"/>
      <c r="I61" s="17"/>
      <c r="J61" s="1"/>
      <c r="K61" s="18"/>
      <c r="L61" s="19"/>
      <c r="M61" s="17"/>
      <c r="N61" s="1"/>
      <c r="O61" s="18"/>
      <c r="P61" s="19"/>
      <c r="Q61" s="17"/>
      <c r="R61" s="1"/>
      <c r="S61" s="18"/>
      <c r="T61" s="19"/>
      <c r="U61" s="17"/>
      <c r="V61" s="1"/>
      <c r="W61" s="18"/>
      <c r="X61" s="19"/>
      <c r="Y61" s="17"/>
      <c r="Z61" s="1"/>
      <c r="AA61" s="18"/>
      <c r="AB61" s="19"/>
    </row>
    <row r="62" spans="1:28" ht="14.85" customHeight="1">
      <c r="A62" s="17"/>
      <c r="B62" s="1"/>
      <c r="C62" s="18"/>
      <c r="D62" s="19"/>
      <c r="E62" s="17"/>
      <c r="F62" s="1"/>
      <c r="G62" s="18"/>
      <c r="H62" s="19"/>
      <c r="I62" s="17"/>
      <c r="J62" s="1"/>
      <c r="K62" s="18"/>
      <c r="L62" s="19"/>
      <c r="M62" s="17"/>
      <c r="N62" s="1"/>
      <c r="O62" s="18"/>
      <c r="P62" s="19"/>
      <c r="Q62" s="17"/>
      <c r="R62" s="1"/>
      <c r="S62" s="18"/>
      <c r="T62" s="19"/>
      <c r="U62" s="17"/>
      <c r="V62" s="1"/>
      <c r="W62" s="18"/>
      <c r="X62" s="19"/>
      <c r="Y62" s="17"/>
      <c r="Z62" s="1"/>
      <c r="AA62" s="18"/>
      <c r="AB62" s="19"/>
    </row>
    <row r="63" spans="1:28" ht="14.85" customHeight="1">
      <c r="A63" s="17"/>
      <c r="B63" s="1"/>
      <c r="C63" s="18"/>
      <c r="D63" s="19"/>
      <c r="E63" s="17"/>
      <c r="F63" s="1"/>
      <c r="G63" s="18"/>
      <c r="H63" s="19"/>
      <c r="I63" s="17"/>
      <c r="J63" s="1"/>
      <c r="K63" s="18"/>
      <c r="L63" s="19"/>
      <c r="M63" s="17"/>
      <c r="N63" s="1"/>
      <c r="O63" s="18"/>
      <c r="P63" s="19"/>
      <c r="Q63" s="17"/>
      <c r="R63" s="1"/>
      <c r="S63" s="18"/>
      <c r="T63" s="19"/>
      <c r="U63" s="17"/>
      <c r="V63" s="1"/>
      <c r="W63" s="18"/>
      <c r="X63" s="19"/>
      <c r="Y63" s="17"/>
      <c r="Z63" s="1"/>
      <c r="AA63" s="18"/>
      <c r="AB63" s="19"/>
    </row>
    <row r="64" spans="1:28" ht="14.85" customHeight="1">
      <c r="A64" s="17"/>
      <c r="B64" s="1"/>
      <c r="C64" s="18"/>
      <c r="D64" s="19"/>
      <c r="E64" s="17"/>
      <c r="F64" s="1"/>
      <c r="G64" s="18"/>
      <c r="H64" s="19"/>
      <c r="I64" s="17"/>
      <c r="J64" s="1"/>
      <c r="K64" s="18"/>
      <c r="L64" s="19"/>
      <c r="M64" s="17"/>
      <c r="N64" s="1"/>
      <c r="O64" s="18"/>
      <c r="P64" s="19"/>
      <c r="Q64" s="17"/>
      <c r="R64" s="1"/>
      <c r="S64" s="18"/>
      <c r="T64" s="19"/>
      <c r="U64" s="17"/>
      <c r="V64" s="1"/>
      <c r="W64" s="18"/>
      <c r="X64" s="19"/>
      <c r="Y64" s="17"/>
      <c r="Z64" s="1"/>
      <c r="AA64" s="18"/>
      <c r="AB64" s="19"/>
    </row>
    <row r="65" spans="1:28" ht="14.85" customHeight="1">
      <c r="A65" s="17"/>
      <c r="B65" s="1"/>
      <c r="C65" s="18"/>
      <c r="D65" s="19"/>
      <c r="E65" s="17"/>
      <c r="F65" s="1"/>
      <c r="G65" s="18"/>
      <c r="H65" s="19"/>
      <c r="I65" s="17"/>
      <c r="J65" s="1"/>
      <c r="K65" s="18"/>
      <c r="L65" s="19"/>
      <c r="M65" s="17"/>
      <c r="N65" s="1"/>
      <c r="O65" s="18"/>
      <c r="P65" s="19"/>
      <c r="Q65" s="17"/>
      <c r="R65" s="1"/>
      <c r="S65" s="18"/>
      <c r="T65" s="19"/>
      <c r="U65" s="17"/>
      <c r="V65" s="1"/>
      <c r="W65" s="18"/>
      <c r="X65" s="19"/>
      <c r="Y65" s="17"/>
      <c r="Z65" s="1"/>
      <c r="AA65" s="18"/>
      <c r="AB65" s="19"/>
    </row>
    <row r="66" spans="1:28" ht="14.85" customHeight="1">
      <c r="A66" s="17"/>
      <c r="B66" s="1"/>
      <c r="C66" s="18"/>
      <c r="D66" s="19"/>
      <c r="E66" s="17"/>
      <c r="F66" s="1"/>
      <c r="G66" s="18"/>
      <c r="H66" s="19"/>
      <c r="I66" s="17"/>
      <c r="J66" s="1"/>
      <c r="K66" s="18"/>
      <c r="L66" s="19"/>
      <c r="M66" s="17"/>
      <c r="N66" s="1"/>
      <c r="O66" s="18"/>
      <c r="P66" s="19"/>
      <c r="Q66" s="17"/>
      <c r="R66" s="1"/>
      <c r="S66" s="18"/>
      <c r="T66" s="19"/>
      <c r="U66" s="17"/>
      <c r="V66" s="1"/>
      <c r="W66" s="18"/>
      <c r="X66" s="19"/>
      <c r="Y66" s="17"/>
      <c r="Z66" s="1"/>
      <c r="AA66" s="18"/>
      <c r="AB66" s="19"/>
    </row>
    <row r="67" spans="1:28" ht="14.85" customHeight="1">
      <c r="A67" s="17"/>
      <c r="B67" s="1"/>
      <c r="C67" s="18"/>
      <c r="D67" s="19"/>
      <c r="E67" s="17"/>
      <c r="F67" s="1"/>
      <c r="G67" s="18"/>
      <c r="H67" s="19"/>
      <c r="I67" s="17"/>
      <c r="J67" s="1"/>
      <c r="K67" s="18"/>
      <c r="L67" s="19"/>
      <c r="M67" s="17"/>
      <c r="N67" s="1"/>
      <c r="O67" s="18"/>
      <c r="P67" s="19"/>
      <c r="Q67" s="17"/>
      <c r="R67" s="1"/>
      <c r="S67" s="18"/>
      <c r="T67" s="19"/>
      <c r="U67" s="17"/>
      <c r="V67" s="1"/>
      <c r="W67" s="18"/>
      <c r="X67" s="19"/>
      <c r="Y67" s="17"/>
      <c r="Z67" s="1"/>
      <c r="AA67" s="18"/>
      <c r="AB67" s="19"/>
    </row>
    <row r="68" spans="1:28" ht="14.85" customHeight="1">
      <c r="A68" s="17"/>
      <c r="B68" s="1"/>
      <c r="C68" s="18"/>
      <c r="D68" s="19"/>
      <c r="E68" s="17"/>
      <c r="F68" s="1"/>
      <c r="G68" s="18"/>
      <c r="H68" s="19"/>
      <c r="I68" s="17"/>
      <c r="J68" s="1"/>
      <c r="K68" s="18"/>
      <c r="L68" s="19"/>
      <c r="M68" s="17"/>
      <c r="N68" s="1"/>
      <c r="O68" s="18"/>
      <c r="P68" s="19"/>
      <c r="Q68" s="17"/>
      <c r="R68" s="1"/>
      <c r="S68" s="18"/>
      <c r="T68" s="19"/>
      <c r="U68" s="17"/>
      <c r="V68" s="1"/>
      <c r="W68" s="18"/>
      <c r="X68" s="19"/>
      <c r="Y68" s="17"/>
      <c r="Z68" s="1"/>
      <c r="AA68" s="18"/>
      <c r="AB68" s="19"/>
    </row>
    <row r="69" spans="1:28" ht="14.85" customHeight="1">
      <c r="A69" s="17"/>
      <c r="B69" s="1"/>
      <c r="C69" s="18"/>
      <c r="D69" s="19"/>
      <c r="E69" s="17"/>
      <c r="F69" s="1"/>
      <c r="G69" s="18"/>
      <c r="H69" s="19"/>
      <c r="I69" s="17"/>
      <c r="J69" s="1"/>
      <c r="K69" s="18"/>
      <c r="L69" s="19"/>
      <c r="M69" s="17"/>
      <c r="N69" s="1"/>
      <c r="O69" s="18"/>
      <c r="P69" s="19"/>
      <c r="Q69" s="17"/>
      <c r="R69" s="1"/>
      <c r="S69" s="18"/>
      <c r="T69" s="19"/>
      <c r="U69" s="17"/>
      <c r="V69" s="1"/>
      <c r="W69" s="18"/>
      <c r="X69" s="19"/>
      <c r="Y69" s="17"/>
      <c r="Z69" s="1"/>
      <c r="AA69" s="18"/>
      <c r="AB69" s="19"/>
    </row>
    <row r="70" spans="1:28" ht="14.85" customHeight="1">
      <c r="A70" s="17"/>
      <c r="B70" s="1"/>
      <c r="C70" s="18"/>
      <c r="D70" s="19"/>
      <c r="E70" s="17"/>
      <c r="F70" s="1"/>
      <c r="G70" s="18"/>
      <c r="H70" s="19"/>
      <c r="I70" s="17"/>
      <c r="J70" s="1"/>
      <c r="K70" s="18"/>
      <c r="L70" s="19"/>
      <c r="M70" s="17"/>
      <c r="N70" s="1"/>
      <c r="O70" s="18"/>
      <c r="P70" s="19"/>
      <c r="Q70" s="17"/>
      <c r="R70" s="1"/>
      <c r="S70" s="18"/>
      <c r="T70" s="19"/>
      <c r="U70" s="17"/>
      <c r="V70" s="1"/>
      <c r="W70" s="18"/>
      <c r="X70" s="19"/>
      <c r="Y70" s="17"/>
      <c r="Z70" s="1"/>
      <c r="AA70" s="18"/>
      <c r="AB70" s="19"/>
    </row>
    <row r="71" spans="1:28" ht="14.85" customHeight="1">
      <c r="A71" s="17"/>
      <c r="B71" s="1"/>
      <c r="C71" s="18"/>
      <c r="D71" s="19"/>
      <c r="E71" s="17"/>
      <c r="F71" s="1"/>
      <c r="G71" s="18"/>
      <c r="H71" s="19"/>
      <c r="I71" s="17"/>
      <c r="J71" s="1"/>
      <c r="K71" s="18"/>
      <c r="L71" s="19"/>
      <c r="M71" s="17"/>
      <c r="N71" s="1"/>
      <c r="O71" s="18"/>
      <c r="P71" s="19"/>
      <c r="Q71" s="17"/>
      <c r="R71" s="1"/>
      <c r="S71" s="18"/>
      <c r="T71" s="19"/>
      <c r="U71" s="17"/>
      <c r="V71" s="1"/>
      <c r="W71" s="18"/>
      <c r="X71" s="19"/>
      <c r="Y71" s="17"/>
      <c r="Z71" s="1"/>
      <c r="AA71" s="18"/>
      <c r="AB71" s="19"/>
    </row>
    <row r="72" spans="1:28" ht="14.85" customHeight="1">
      <c r="A72" s="17"/>
      <c r="B72" s="1"/>
      <c r="C72" s="18"/>
      <c r="D72" s="19"/>
      <c r="E72" s="17"/>
      <c r="F72" s="1"/>
      <c r="G72" s="18"/>
      <c r="H72" s="19"/>
      <c r="I72" s="17"/>
      <c r="J72" s="1"/>
      <c r="K72" s="18"/>
      <c r="L72" s="19"/>
      <c r="M72" s="17"/>
      <c r="N72" s="1"/>
      <c r="O72" s="18"/>
      <c r="P72" s="19"/>
      <c r="Q72" s="17"/>
      <c r="R72" s="1"/>
      <c r="S72" s="18"/>
      <c r="T72" s="19"/>
      <c r="U72" s="17"/>
      <c r="V72" s="1"/>
      <c r="W72" s="18"/>
      <c r="X72" s="19"/>
      <c r="Y72" s="17"/>
      <c r="Z72" s="1"/>
      <c r="AA72" s="18"/>
      <c r="AB72" s="19"/>
    </row>
    <row r="73" spans="1:28" ht="14.85" customHeight="1">
      <c r="A73" s="17"/>
      <c r="B73" s="1"/>
      <c r="C73" s="18"/>
      <c r="D73" s="19"/>
      <c r="E73" s="17"/>
      <c r="F73" s="1"/>
      <c r="G73" s="18"/>
      <c r="H73" s="19"/>
      <c r="I73" s="17"/>
      <c r="J73" s="1"/>
      <c r="K73" s="18"/>
      <c r="L73" s="19"/>
      <c r="M73" s="17"/>
      <c r="N73" s="1"/>
      <c r="O73" s="18"/>
      <c r="P73" s="19"/>
      <c r="Q73" s="17"/>
      <c r="R73" s="1"/>
      <c r="S73" s="18"/>
      <c r="T73" s="19"/>
      <c r="U73" s="17"/>
      <c r="V73" s="1"/>
      <c r="W73" s="18"/>
      <c r="X73" s="19"/>
      <c r="Y73" s="17"/>
      <c r="Z73" s="1"/>
      <c r="AA73" s="18"/>
      <c r="AB73" s="19"/>
    </row>
    <row r="74" spans="1:28" ht="14.85" customHeight="1">
      <c r="A74" s="17"/>
      <c r="B74" s="1"/>
      <c r="C74" s="18"/>
      <c r="D74" s="19"/>
      <c r="E74" s="17"/>
      <c r="F74" s="1"/>
      <c r="G74" s="18"/>
      <c r="H74" s="19"/>
      <c r="I74" s="17"/>
      <c r="J74" s="1"/>
      <c r="K74" s="18"/>
      <c r="L74" s="19"/>
      <c r="M74" s="17"/>
      <c r="N74" s="1"/>
      <c r="O74" s="18"/>
      <c r="P74" s="19"/>
      <c r="Q74" s="17"/>
      <c r="R74" s="1"/>
      <c r="S74" s="18"/>
      <c r="T74" s="19"/>
      <c r="U74" s="17"/>
      <c r="V74" s="1"/>
      <c r="W74" s="18"/>
      <c r="X74" s="19"/>
      <c r="Y74" s="17"/>
      <c r="Z74" s="1"/>
      <c r="AA74" s="18"/>
      <c r="AB74" s="19"/>
    </row>
    <row r="75" spans="1:28" ht="14.85" customHeight="1">
      <c r="A75" s="17"/>
      <c r="B75" s="1"/>
      <c r="C75" s="18"/>
      <c r="D75" s="19"/>
      <c r="E75" s="17"/>
      <c r="F75" s="1"/>
      <c r="G75" s="18"/>
      <c r="H75" s="19"/>
      <c r="I75" s="17"/>
      <c r="J75" s="1"/>
      <c r="K75" s="18"/>
      <c r="L75" s="19"/>
      <c r="M75" s="17"/>
      <c r="N75" s="1"/>
      <c r="O75" s="18"/>
      <c r="P75" s="19"/>
      <c r="Q75" s="17"/>
      <c r="R75" s="1"/>
      <c r="S75" s="18"/>
      <c r="T75" s="19"/>
      <c r="U75" s="17"/>
      <c r="V75" s="1"/>
      <c r="W75" s="18"/>
      <c r="X75" s="19"/>
      <c r="Y75" s="17"/>
      <c r="Z75" s="1"/>
      <c r="AA75" s="18"/>
      <c r="AB75" s="19"/>
    </row>
    <row r="76" spans="1:28" ht="14.85" customHeight="1">
      <c r="A76" s="17"/>
      <c r="B76" s="1"/>
      <c r="C76" s="18"/>
      <c r="D76" s="19"/>
      <c r="E76" s="17"/>
      <c r="F76" s="1"/>
      <c r="G76" s="18"/>
      <c r="H76" s="19"/>
      <c r="I76" s="17"/>
      <c r="J76" s="1"/>
      <c r="K76" s="18"/>
      <c r="L76" s="19"/>
      <c r="M76" s="17"/>
      <c r="N76" s="1"/>
      <c r="O76" s="18"/>
      <c r="P76" s="19"/>
      <c r="Q76" s="17"/>
      <c r="R76" s="1"/>
      <c r="S76" s="18"/>
      <c r="T76" s="19"/>
      <c r="U76" s="17"/>
      <c r="V76" s="1"/>
      <c r="W76" s="18"/>
      <c r="X76" s="19"/>
      <c r="Y76" s="17"/>
      <c r="Z76" s="1"/>
      <c r="AA76" s="18"/>
      <c r="AB76" s="1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2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tabSelected="1" topLeftCell="A82" workbookViewId="0">
      <selection activeCell="F237" sqref="F237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style="34" customWidth="1"/>
  </cols>
  <sheetData>
    <row r="1" spans="1:6" ht="42" customHeight="1">
      <c r="A1" s="46" t="s">
        <v>307</v>
      </c>
      <c r="B1" s="46"/>
      <c r="C1" s="46"/>
      <c r="D1" s="34" t="str">
        <f>常分成績!G1</f>
        <v>公民</v>
      </c>
    </row>
    <row r="2" spans="1:6" ht="31.5">
      <c r="A2" s="31" t="s">
        <v>0</v>
      </c>
      <c r="B2" s="31" t="s">
        <v>1</v>
      </c>
      <c r="C2" s="31" t="s">
        <v>297</v>
      </c>
      <c r="D2" s="35" t="s">
        <v>298</v>
      </c>
      <c r="E2" s="32" t="s">
        <v>284</v>
      </c>
      <c r="F2" s="36" t="s">
        <v>285</v>
      </c>
    </row>
    <row r="3" spans="1:6">
      <c r="A3" s="37">
        <f>常分成績!A4</f>
        <v>20210198</v>
      </c>
      <c r="B3" s="37">
        <f>常分成績!B4</f>
        <v>1</v>
      </c>
      <c r="C3" s="38" t="s">
        <v>2</v>
      </c>
      <c r="D3" s="37" t="str">
        <f>常分成績!C4</f>
        <v>卜啟韜</v>
      </c>
      <c r="E3" s="37">
        <f>常分成績!D4</f>
        <v>93</v>
      </c>
      <c r="F3" s="47">
        <v>89</v>
      </c>
    </row>
    <row r="4" spans="1:6">
      <c r="A4" s="37">
        <f>常分成績!A5</f>
        <v>20230214</v>
      </c>
      <c r="B4" s="37">
        <f>常分成績!B5</f>
        <v>2</v>
      </c>
      <c r="C4" s="38" t="s">
        <v>2</v>
      </c>
      <c r="D4" s="37" t="str">
        <f>常分成績!C5</f>
        <v>尤鉑霖</v>
      </c>
      <c r="E4" s="37">
        <f>常分成績!D5</f>
        <v>92</v>
      </c>
      <c r="F4" s="47">
        <v>90</v>
      </c>
    </row>
    <row r="5" spans="1:6">
      <c r="A5" s="37">
        <f>常分成績!A6</f>
        <v>20190086</v>
      </c>
      <c r="B5" s="37">
        <f>常分成績!B6</f>
        <v>3</v>
      </c>
      <c r="C5" s="38" t="s">
        <v>306</v>
      </c>
      <c r="D5" s="37" t="str">
        <f>常分成績!C6</f>
        <v>尹智成</v>
      </c>
      <c r="E5" s="37">
        <f>常分成績!D6</f>
        <v>87</v>
      </c>
      <c r="F5" s="47">
        <v>85</v>
      </c>
    </row>
    <row r="6" spans="1:6">
      <c r="A6" s="37">
        <f>常分成績!A7</f>
        <v>20230295</v>
      </c>
      <c r="B6" s="37">
        <f>常分成績!B7</f>
        <v>4</v>
      </c>
      <c r="C6" s="38" t="s">
        <v>306</v>
      </c>
      <c r="D6" s="37" t="str">
        <f>常分成績!C7</f>
        <v>王清晨</v>
      </c>
      <c r="E6" s="37">
        <f>常分成績!D7</f>
        <v>93</v>
      </c>
      <c r="F6" s="47">
        <v>87</v>
      </c>
    </row>
    <row r="7" spans="1:6">
      <c r="A7" s="37">
        <f>常分成績!A8</f>
        <v>20220187</v>
      </c>
      <c r="B7" s="37">
        <f>常分成績!B8</f>
        <v>5</v>
      </c>
      <c r="C7" s="38" t="s">
        <v>306</v>
      </c>
      <c r="D7" s="37" t="str">
        <f>常分成績!C8</f>
        <v>何彥林</v>
      </c>
      <c r="E7" s="37">
        <f>常分成績!D8</f>
        <v>90</v>
      </c>
      <c r="F7" s="47">
        <v>85</v>
      </c>
    </row>
    <row r="8" spans="1:6">
      <c r="A8" s="37">
        <f>常分成績!A9</f>
        <v>20133010</v>
      </c>
      <c r="B8" s="37">
        <f>常分成績!B9</f>
        <v>6</v>
      </c>
      <c r="C8" s="38" t="s">
        <v>306</v>
      </c>
      <c r="D8" s="37" t="str">
        <f>常分成績!C9</f>
        <v>何詠宜</v>
      </c>
      <c r="E8" s="37">
        <f>常分成績!D9</f>
        <v>90</v>
      </c>
      <c r="F8" s="47">
        <v>86</v>
      </c>
    </row>
    <row r="9" spans="1:6">
      <c r="A9" s="37">
        <f>常分成績!A10</f>
        <v>20220081</v>
      </c>
      <c r="B9" s="37">
        <f>常分成績!B10</f>
        <v>7</v>
      </c>
      <c r="C9" s="38" t="s">
        <v>306</v>
      </c>
      <c r="D9" s="37" t="str">
        <f>常分成績!C10</f>
        <v>吳宇施</v>
      </c>
      <c r="E9" s="37">
        <f>常分成績!D10</f>
        <v>92</v>
      </c>
      <c r="F9" s="47">
        <v>98</v>
      </c>
    </row>
    <row r="10" spans="1:6">
      <c r="A10" s="37">
        <f>常分成績!A11</f>
        <v>20190179</v>
      </c>
      <c r="B10" s="37">
        <f>常分成績!B11</f>
        <v>8</v>
      </c>
      <c r="C10" s="38" t="s">
        <v>306</v>
      </c>
      <c r="D10" s="37" t="str">
        <f>常分成績!C11</f>
        <v>吳東濠</v>
      </c>
      <c r="E10" s="37">
        <f>常分成績!D11</f>
        <v>90</v>
      </c>
      <c r="F10" s="47">
        <v>89</v>
      </c>
    </row>
    <row r="11" spans="1:6">
      <c r="A11" s="37">
        <f>常分成績!A12</f>
        <v>20190009</v>
      </c>
      <c r="B11" s="37">
        <f>常分成績!B12</f>
        <v>9</v>
      </c>
      <c r="C11" s="38" t="s">
        <v>306</v>
      </c>
      <c r="D11" s="37" t="str">
        <f>常分成績!C12</f>
        <v>吳俊君</v>
      </c>
      <c r="E11" s="37">
        <f>常分成績!D12</f>
        <v>88</v>
      </c>
      <c r="F11" s="47">
        <v>75</v>
      </c>
    </row>
    <row r="12" spans="1:6">
      <c r="A12" s="37">
        <f>常分成績!A13</f>
        <v>20153119</v>
      </c>
      <c r="B12" s="37">
        <f>常分成績!B13</f>
        <v>10</v>
      </c>
      <c r="C12" s="38" t="s">
        <v>306</v>
      </c>
      <c r="D12" s="37" t="str">
        <f>常分成績!C13</f>
        <v>李杰成</v>
      </c>
      <c r="E12" s="37">
        <f>常分成績!D13</f>
        <v>88</v>
      </c>
      <c r="F12" s="47">
        <v>90</v>
      </c>
    </row>
    <row r="13" spans="1:6">
      <c r="A13" s="37">
        <f>常分成績!A14</f>
        <v>20220219</v>
      </c>
      <c r="B13" s="37">
        <f>常分成績!B14</f>
        <v>11</v>
      </c>
      <c r="C13" s="38" t="s">
        <v>306</v>
      </c>
      <c r="D13" s="37" t="str">
        <f>常分成績!C14</f>
        <v>李遠航</v>
      </c>
      <c r="E13" s="37">
        <f>常分成績!D14</f>
        <v>93</v>
      </c>
      <c r="F13" s="47">
        <v>88</v>
      </c>
    </row>
    <row r="14" spans="1:6">
      <c r="A14" s="37">
        <f>常分成績!A15</f>
        <v>20190044</v>
      </c>
      <c r="B14" s="37">
        <f>常分成績!B15</f>
        <v>12</v>
      </c>
      <c r="C14" s="38" t="s">
        <v>306</v>
      </c>
      <c r="D14" s="37" t="str">
        <f>常分成績!C15</f>
        <v>杜珮瑩</v>
      </c>
      <c r="E14" s="37">
        <f>常分成績!D15</f>
        <v>90</v>
      </c>
      <c r="F14" s="47">
        <v>91</v>
      </c>
    </row>
    <row r="15" spans="1:6">
      <c r="A15" s="37">
        <f>常分成績!A16</f>
        <v>20230347</v>
      </c>
      <c r="B15" s="37">
        <f>常分成績!B16</f>
        <v>13</v>
      </c>
      <c r="C15" s="38" t="s">
        <v>306</v>
      </c>
      <c r="D15" s="37" t="str">
        <f>常分成績!C16</f>
        <v>林子莉</v>
      </c>
      <c r="E15" s="37">
        <f>常分成績!D16</f>
        <v>93</v>
      </c>
      <c r="F15" s="47">
        <v>90</v>
      </c>
    </row>
    <row r="16" spans="1:6">
      <c r="A16" s="37">
        <f>常分成績!A17</f>
        <v>20163038</v>
      </c>
      <c r="B16" s="37">
        <f>常分成績!B17</f>
        <v>14</v>
      </c>
      <c r="C16" s="38" t="s">
        <v>306</v>
      </c>
      <c r="D16" s="37" t="str">
        <f>常分成績!C17</f>
        <v>容國翔</v>
      </c>
      <c r="E16" s="37">
        <f>常分成績!D17</f>
        <v>90</v>
      </c>
      <c r="F16" s="47">
        <v>84</v>
      </c>
    </row>
    <row r="17" spans="1:6">
      <c r="A17" s="37">
        <f>常分成績!A18</f>
        <v>20220144</v>
      </c>
      <c r="B17" s="37">
        <f>常分成績!B18</f>
        <v>15</v>
      </c>
      <c r="C17" s="38" t="s">
        <v>306</v>
      </c>
      <c r="D17" s="37" t="str">
        <f>常分成績!C18</f>
        <v>徐佩杰</v>
      </c>
      <c r="E17" s="37">
        <f>常分成績!D18</f>
        <v>93</v>
      </c>
      <c r="F17" s="47">
        <v>93</v>
      </c>
    </row>
    <row r="18" spans="1:6">
      <c r="A18" s="37">
        <f>常分成績!A19</f>
        <v>20210197</v>
      </c>
      <c r="B18" s="37">
        <f>常分成績!B19</f>
        <v>16</v>
      </c>
      <c r="C18" s="38" t="s">
        <v>306</v>
      </c>
      <c r="D18" s="37" t="str">
        <f>常分成績!C19</f>
        <v>秦朗</v>
      </c>
      <c r="E18" s="37">
        <f>常分成績!D19</f>
        <v>90</v>
      </c>
      <c r="F18" s="47">
        <v>85</v>
      </c>
    </row>
    <row r="19" spans="1:6">
      <c r="A19" s="37">
        <f>常分成績!A20</f>
        <v>20102036</v>
      </c>
      <c r="B19" s="37">
        <f>常分成績!B20</f>
        <v>17</v>
      </c>
      <c r="C19" s="38" t="s">
        <v>306</v>
      </c>
      <c r="D19" s="37" t="str">
        <f>常分成績!C20</f>
        <v>高雅婧</v>
      </c>
      <c r="E19" s="37">
        <f>常分成績!D20</f>
        <v>93</v>
      </c>
      <c r="F19" s="47">
        <v>91</v>
      </c>
    </row>
    <row r="20" spans="1:6">
      <c r="A20" s="37">
        <f>常分成績!A21</f>
        <v>20153044</v>
      </c>
      <c r="B20" s="37">
        <f>常分成績!B21</f>
        <v>18</v>
      </c>
      <c r="C20" s="38" t="s">
        <v>306</v>
      </c>
      <c r="D20" s="37" t="str">
        <f>常分成績!C21</f>
        <v>梁倩瑜</v>
      </c>
      <c r="E20" s="37">
        <f>常分成績!D21</f>
        <v>93</v>
      </c>
      <c r="F20" s="47">
        <v>92</v>
      </c>
    </row>
    <row r="21" spans="1:6">
      <c r="A21" s="37">
        <f>常分成績!A22</f>
        <v>20102011</v>
      </c>
      <c r="B21" s="37">
        <f>常分成績!B22</f>
        <v>19</v>
      </c>
      <c r="C21" s="38" t="s">
        <v>306</v>
      </c>
      <c r="D21" s="37" t="str">
        <f>常分成績!C22</f>
        <v>梁錦進</v>
      </c>
      <c r="E21" s="37">
        <f>常分成績!D22</f>
        <v>90</v>
      </c>
      <c r="F21" s="47">
        <v>90</v>
      </c>
    </row>
    <row r="22" spans="1:6">
      <c r="A22" s="37">
        <f>常分成績!A23</f>
        <v>20102066</v>
      </c>
      <c r="B22" s="37">
        <f>常分成績!B23</f>
        <v>20</v>
      </c>
      <c r="C22" s="38" t="s">
        <v>306</v>
      </c>
      <c r="D22" s="37" t="str">
        <f>常分成績!C23</f>
        <v>郭誌烽</v>
      </c>
      <c r="E22" s="37">
        <f>常分成績!D23</f>
        <v>88</v>
      </c>
      <c r="F22" s="47">
        <v>86</v>
      </c>
    </row>
    <row r="23" spans="1:6">
      <c r="A23" s="37">
        <f>常分成績!A24</f>
        <v>20220169</v>
      </c>
      <c r="B23" s="37">
        <f>常分成績!B24</f>
        <v>21</v>
      </c>
      <c r="C23" s="38" t="s">
        <v>306</v>
      </c>
      <c r="D23" s="37" t="str">
        <f>常分成績!C24</f>
        <v>陳藝珊</v>
      </c>
      <c r="E23" s="37">
        <f>常分成績!D24</f>
        <v>93</v>
      </c>
      <c r="F23" s="47">
        <v>90</v>
      </c>
    </row>
    <row r="24" spans="1:6">
      <c r="A24" s="37">
        <f>常分成績!A25</f>
        <v>20220080</v>
      </c>
      <c r="B24" s="37">
        <f>常分成績!B25</f>
        <v>22</v>
      </c>
      <c r="C24" s="38" t="s">
        <v>306</v>
      </c>
      <c r="D24" s="37" t="str">
        <f>常分成績!C25</f>
        <v>喻澤森</v>
      </c>
      <c r="E24" s="37">
        <f>常分成績!D25</f>
        <v>90</v>
      </c>
      <c r="F24" s="47">
        <v>88</v>
      </c>
    </row>
    <row r="25" spans="1:6">
      <c r="A25" s="37">
        <f>常分成績!A26</f>
        <v>20102020</v>
      </c>
      <c r="B25" s="37">
        <f>常分成績!B26</f>
        <v>23</v>
      </c>
      <c r="C25" s="38" t="s">
        <v>306</v>
      </c>
      <c r="D25" s="37" t="str">
        <f>常分成績!C26</f>
        <v>楊耀禧</v>
      </c>
      <c r="E25" s="37">
        <f>常分成績!D26</f>
        <v>90</v>
      </c>
      <c r="F25" s="47">
        <v>92</v>
      </c>
    </row>
    <row r="26" spans="1:6">
      <c r="A26" s="37">
        <f>常分成績!A27</f>
        <v>20230335</v>
      </c>
      <c r="B26" s="37">
        <f>常分成績!B27</f>
        <v>24</v>
      </c>
      <c r="C26" s="38" t="s">
        <v>306</v>
      </c>
      <c r="D26" s="37" t="str">
        <f>常分成績!C27</f>
        <v>劉恬序</v>
      </c>
      <c r="E26" s="37">
        <f>常分成績!D27</f>
        <v>92</v>
      </c>
      <c r="F26" s="47">
        <v>89</v>
      </c>
    </row>
    <row r="27" spans="1:6">
      <c r="A27" s="37">
        <f>常分成績!A28</f>
        <v>20102077</v>
      </c>
      <c r="B27" s="37">
        <f>常分成績!B28</f>
        <v>25</v>
      </c>
      <c r="C27" s="38" t="s">
        <v>306</v>
      </c>
      <c r="D27" s="37" t="str">
        <f>常分成績!C28</f>
        <v>黎曉妍</v>
      </c>
      <c r="E27" s="37">
        <f>常分成績!D28</f>
        <v>90</v>
      </c>
      <c r="F27" s="47">
        <v>84</v>
      </c>
    </row>
    <row r="28" spans="1:6">
      <c r="A28" s="37">
        <f>常分成績!A29</f>
        <v>20173023</v>
      </c>
      <c r="B28" s="37">
        <f>常分成績!B29</f>
        <v>26</v>
      </c>
      <c r="C28" s="38" t="s">
        <v>306</v>
      </c>
      <c r="D28" s="37" t="str">
        <f>常分成績!C29</f>
        <v>盧銳軒</v>
      </c>
      <c r="E28" s="37">
        <f>常分成績!D29</f>
        <v>90</v>
      </c>
      <c r="F28" s="47">
        <v>91</v>
      </c>
    </row>
    <row r="29" spans="1:6">
      <c r="A29" s="37">
        <f>常分成績!A30</f>
        <v>20190041</v>
      </c>
      <c r="B29" s="37">
        <f>常分成績!B30</f>
        <v>27</v>
      </c>
      <c r="C29" s="38" t="s">
        <v>306</v>
      </c>
      <c r="D29" s="37" t="str">
        <f>常分成績!C30</f>
        <v>蕭嘉濤</v>
      </c>
      <c r="E29" s="37">
        <f>常分成績!D30</f>
        <v>90</v>
      </c>
      <c r="F29" s="47">
        <v>85</v>
      </c>
    </row>
    <row r="30" spans="1:6">
      <c r="A30" s="37">
        <f>常分成績!A31</f>
        <v>20220054</v>
      </c>
      <c r="B30" s="37">
        <f>常分成績!B31</f>
        <v>28</v>
      </c>
      <c r="C30" s="38" t="s">
        <v>306</v>
      </c>
      <c r="D30" s="37" t="str">
        <f>常分成績!C31</f>
        <v>龐宏俊</v>
      </c>
      <c r="E30" s="37">
        <f>常分成績!D31</f>
        <v>90</v>
      </c>
      <c r="F30" s="47">
        <v>81</v>
      </c>
    </row>
    <row r="31" spans="1:6">
      <c r="A31" s="33"/>
    </row>
    <row r="32" spans="1:6">
      <c r="A32" s="37">
        <f>常分成績!E4</f>
        <v>20190194</v>
      </c>
      <c r="B32" s="37">
        <f>常分成績!F4</f>
        <v>1</v>
      </c>
      <c r="C32" s="38" t="s">
        <v>286</v>
      </c>
      <c r="D32" s="37" t="str">
        <f>常分成績!G4</f>
        <v>何亦琳</v>
      </c>
      <c r="E32" s="37">
        <f>常分成績!H4</f>
        <v>93</v>
      </c>
      <c r="F32" s="47">
        <v>93</v>
      </c>
    </row>
    <row r="33" spans="1:6">
      <c r="A33" s="37">
        <f>常分成績!E5</f>
        <v>20200072</v>
      </c>
      <c r="B33" s="37">
        <f>常分成績!F5</f>
        <v>2</v>
      </c>
      <c r="C33" s="38" t="s">
        <v>286</v>
      </c>
      <c r="D33" s="37" t="str">
        <f>常分成績!G5</f>
        <v>李鑫</v>
      </c>
      <c r="E33" s="37">
        <f>常分成績!H5</f>
        <v>90</v>
      </c>
      <c r="F33" s="47">
        <v>85</v>
      </c>
    </row>
    <row r="34" spans="1:6">
      <c r="A34" s="37">
        <f>常分成績!E6</f>
        <v>20102031</v>
      </c>
      <c r="B34" s="37">
        <f>常分成績!F6</f>
        <v>3</v>
      </c>
      <c r="C34" s="38" t="s">
        <v>286</v>
      </c>
      <c r="D34" s="37" t="str">
        <f>常分成績!G6</f>
        <v>杜家駿</v>
      </c>
      <c r="E34" s="37">
        <f>常分成績!H6</f>
        <v>92</v>
      </c>
      <c r="F34" s="47">
        <v>92</v>
      </c>
    </row>
    <row r="35" spans="1:6">
      <c r="A35" s="37">
        <f>常分成績!E7</f>
        <v>20180007</v>
      </c>
      <c r="B35" s="37">
        <f>常分成績!F7</f>
        <v>4</v>
      </c>
      <c r="C35" s="38" t="s">
        <v>286</v>
      </c>
      <c r="D35" s="37" t="str">
        <f>常分成績!G7</f>
        <v>林佩怡</v>
      </c>
      <c r="E35" s="37">
        <f>常分成績!H7</f>
        <v>92</v>
      </c>
      <c r="F35" s="47">
        <v>72</v>
      </c>
    </row>
    <row r="36" spans="1:6">
      <c r="A36" s="37">
        <f>常分成績!E8</f>
        <v>20102034</v>
      </c>
      <c r="B36" s="37">
        <f>常分成績!F8</f>
        <v>5</v>
      </c>
      <c r="C36" s="38" t="s">
        <v>286</v>
      </c>
      <c r="D36" s="37" t="str">
        <f>常分成績!G8</f>
        <v>林俊業</v>
      </c>
      <c r="E36" s="37">
        <f>常分成績!H8</f>
        <v>90</v>
      </c>
      <c r="F36" s="47">
        <v>89</v>
      </c>
    </row>
    <row r="37" spans="1:6">
      <c r="A37" s="37">
        <f>常分成績!E9</f>
        <v>20153065</v>
      </c>
      <c r="B37" s="37">
        <f>常分成績!F9</f>
        <v>6</v>
      </c>
      <c r="C37" s="38" t="s">
        <v>286</v>
      </c>
      <c r="D37" s="37" t="str">
        <f>常分成績!G9</f>
        <v>姚宏銘</v>
      </c>
      <c r="E37" s="37">
        <f>常分成績!H9</f>
        <v>92</v>
      </c>
      <c r="F37" s="47">
        <v>87</v>
      </c>
    </row>
    <row r="38" spans="1:6">
      <c r="A38" s="37">
        <f>常分成績!E10</f>
        <v>20220084</v>
      </c>
      <c r="B38" s="37">
        <f>常分成績!F10</f>
        <v>7</v>
      </c>
      <c r="C38" s="38" t="s">
        <v>286</v>
      </c>
      <c r="D38" s="37" t="str">
        <f>常分成績!G10</f>
        <v>唐詩堯</v>
      </c>
      <c r="E38" s="37">
        <f>常分成績!H10</f>
        <v>90</v>
      </c>
      <c r="F38" s="47">
        <v>66</v>
      </c>
    </row>
    <row r="39" spans="1:6">
      <c r="A39" s="37">
        <f>常分成績!E11</f>
        <v>20210163</v>
      </c>
      <c r="B39" s="37">
        <f>常分成績!F11</f>
        <v>8</v>
      </c>
      <c r="C39" s="38" t="s">
        <v>286</v>
      </c>
      <c r="D39" s="37" t="str">
        <f>常分成績!G11</f>
        <v>崔仕宇</v>
      </c>
      <c r="E39" s="37">
        <f>常分成績!H11</f>
        <v>92</v>
      </c>
      <c r="F39" s="47">
        <v>90</v>
      </c>
    </row>
    <row r="40" spans="1:6">
      <c r="A40" s="37">
        <f>常分成績!E12</f>
        <v>20190244</v>
      </c>
      <c r="B40" s="37">
        <f>常分成績!F12</f>
        <v>9</v>
      </c>
      <c r="C40" s="38" t="s">
        <v>286</v>
      </c>
      <c r="D40" s="37" t="str">
        <f>常分成績!G12</f>
        <v>梁嘉軒</v>
      </c>
      <c r="E40" s="37">
        <f>常分成績!H12</f>
        <v>93</v>
      </c>
      <c r="F40" s="47">
        <v>84</v>
      </c>
    </row>
    <row r="41" spans="1:6">
      <c r="A41" s="37">
        <f>常分成績!E13</f>
        <v>20220085</v>
      </c>
      <c r="B41" s="37">
        <f>常分成績!F13</f>
        <v>10</v>
      </c>
      <c r="C41" s="38" t="s">
        <v>286</v>
      </c>
      <c r="D41" s="37" t="str">
        <f>常分成績!G13</f>
        <v>梅俊銳</v>
      </c>
      <c r="E41" s="37">
        <f>常分成績!H13</f>
        <v>92</v>
      </c>
      <c r="F41" s="47">
        <v>90</v>
      </c>
    </row>
    <row r="42" spans="1:6">
      <c r="A42" s="37">
        <f>常分成績!E14</f>
        <v>20173030</v>
      </c>
      <c r="B42" s="37">
        <f>常分成績!F14</f>
        <v>11</v>
      </c>
      <c r="C42" s="38" t="s">
        <v>286</v>
      </c>
      <c r="D42" s="37" t="str">
        <f>常分成績!G14</f>
        <v>陳泓睿</v>
      </c>
      <c r="E42" s="37">
        <f>常分成績!H14</f>
        <v>92</v>
      </c>
      <c r="F42" s="47">
        <v>90</v>
      </c>
    </row>
    <row r="43" spans="1:6">
      <c r="A43" s="37">
        <f>常分成績!E15</f>
        <v>20220066</v>
      </c>
      <c r="B43" s="37">
        <f>常分成績!F15</f>
        <v>12</v>
      </c>
      <c r="C43" s="38" t="s">
        <v>286</v>
      </c>
      <c r="D43" s="37" t="str">
        <f>常分成績!G15</f>
        <v>陳智騫</v>
      </c>
      <c r="E43" s="37">
        <f>常分成績!H15</f>
        <v>88</v>
      </c>
      <c r="F43" s="47">
        <v>89</v>
      </c>
    </row>
    <row r="44" spans="1:6">
      <c r="A44" s="37">
        <f>常分成績!E16</f>
        <v>20220188</v>
      </c>
      <c r="B44" s="37">
        <f>常分成績!F16</f>
        <v>13</v>
      </c>
      <c r="C44" s="38" t="s">
        <v>286</v>
      </c>
      <c r="D44" s="37" t="str">
        <f>常分成績!G16</f>
        <v>陳棋琛</v>
      </c>
      <c r="E44" s="37">
        <f>常分成績!H16</f>
        <v>93</v>
      </c>
      <c r="F44" s="47">
        <v>96</v>
      </c>
    </row>
    <row r="45" spans="1:6">
      <c r="A45" s="37">
        <f>常分成績!E17</f>
        <v>20230217</v>
      </c>
      <c r="B45" s="37">
        <f>常分成績!F17</f>
        <v>14</v>
      </c>
      <c r="C45" s="38" t="s">
        <v>286</v>
      </c>
      <c r="D45" s="37" t="str">
        <f>常分成績!G17</f>
        <v>陳淼濤</v>
      </c>
      <c r="E45" s="37">
        <f>常分成績!H17</f>
        <v>90</v>
      </c>
      <c r="F45" s="47">
        <v>78</v>
      </c>
    </row>
    <row r="46" spans="1:6">
      <c r="A46" s="37">
        <f>常分成績!E18</f>
        <v>20122155</v>
      </c>
      <c r="B46" s="37">
        <f>常分成績!F18</f>
        <v>15</v>
      </c>
      <c r="C46" s="38" t="s">
        <v>286</v>
      </c>
      <c r="D46" s="37" t="str">
        <f>常分成績!G18</f>
        <v>陳嘉韻</v>
      </c>
      <c r="E46" s="37">
        <f>常分成績!H18</f>
        <v>92</v>
      </c>
      <c r="F46" s="47">
        <v>75</v>
      </c>
    </row>
    <row r="47" spans="1:6">
      <c r="A47" s="37">
        <f>常分成績!E19</f>
        <v>20183037</v>
      </c>
      <c r="B47" s="37">
        <f>常分成績!F19</f>
        <v>16</v>
      </c>
      <c r="C47" s="38" t="s">
        <v>286</v>
      </c>
      <c r="D47" s="37" t="str">
        <f>常分成績!G19</f>
        <v>陳樂縈</v>
      </c>
      <c r="E47" s="37">
        <f>常分成績!H19</f>
        <v>93</v>
      </c>
      <c r="F47" s="47">
        <v>96</v>
      </c>
    </row>
    <row r="48" spans="1:6">
      <c r="A48" s="37">
        <f>常分成績!E20</f>
        <v>20230296</v>
      </c>
      <c r="B48" s="37">
        <f>常分成績!F20</f>
        <v>17</v>
      </c>
      <c r="C48" s="38" t="s">
        <v>286</v>
      </c>
      <c r="D48" s="37" t="str">
        <f>常分成績!G20</f>
        <v>勞卓成</v>
      </c>
      <c r="E48" s="37">
        <f>常分成績!H20</f>
        <v>92</v>
      </c>
      <c r="F48" s="47">
        <v>93</v>
      </c>
    </row>
    <row r="49" spans="1:6">
      <c r="A49" s="37">
        <f>常分成績!E21</f>
        <v>20102019</v>
      </c>
      <c r="B49" s="37">
        <f>常分成績!F21</f>
        <v>18</v>
      </c>
      <c r="C49" s="38" t="s">
        <v>286</v>
      </c>
      <c r="D49" s="37" t="str">
        <f>常分成績!G21</f>
        <v>曾景恆</v>
      </c>
      <c r="E49" s="37">
        <f>常分成績!H21</f>
        <v>92</v>
      </c>
      <c r="F49" s="47">
        <v>85</v>
      </c>
    </row>
    <row r="50" spans="1:6">
      <c r="A50" s="37">
        <f>常分成績!E22</f>
        <v>20190074</v>
      </c>
      <c r="B50" s="37">
        <f>常分成績!F22</f>
        <v>19</v>
      </c>
      <c r="C50" s="38" t="s">
        <v>286</v>
      </c>
      <c r="D50" s="37" t="str">
        <f>常分成績!G22</f>
        <v>馮若曦</v>
      </c>
      <c r="E50" s="37">
        <f>常分成績!H22</f>
        <v>92</v>
      </c>
      <c r="F50" s="47">
        <v>91</v>
      </c>
    </row>
    <row r="51" spans="1:6">
      <c r="A51" s="37">
        <f>常分成績!E23</f>
        <v>20122144</v>
      </c>
      <c r="B51" s="37">
        <f>常分成績!F23</f>
        <v>20</v>
      </c>
      <c r="C51" s="38" t="s">
        <v>286</v>
      </c>
      <c r="D51" s="37" t="str">
        <f>常分成績!G23</f>
        <v>黃靜雯</v>
      </c>
      <c r="E51" s="37">
        <f>常分成績!H23</f>
        <v>93</v>
      </c>
      <c r="F51" s="47">
        <v>85</v>
      </c>
    </row>
    <row r="52" spans="1:6">
      <c r="A52" s="37">
        <f>常分成績!E24</f>
        <v>20190095</v>
      </c>
      <c r="B52" s="37">
        <f>常分成績!F24</f>
        <v>21</v>
      </c>
      <c r="C52" s="38" t="s">
        <v>286</v>
      </c>
      <c r="D52" s="37" t="str">
        <f>常分成績!G24</f>
        <v>溫浩匡</v>
      </c>
      <c r="E52" s="37">
        <f>常分成績!H24</f>
        <v>90</v>
      </c>
      <c r="F52" s="47">
        <v>96</v>
      </c>
    </row>
    <row r="53" spans="1:6">
      <c r="A53" s="37">
        <f>常分成績!E25</f>
        <v>20190066</v>
      </c>
      <c r="B53" s="37">
        <f>常分成績!F25</f>
        <v>22</v>
      </c>
      <c r="C53" s="38" t="s">
        <v>286</v>
      </c>
      <c r="D53" s="37" t="str">
        <f>常分成績!G25</f>
        <v>趙子瀚</v>
      </c>
      <c r="E53" s="37">
        <f>常分成績!H25</f>
        <v>92</v>
      </c>
      <c r="F53" s="47">
        <v>71</v>
      </c>
    </row>
    <row r="54" spans="1:6">
      <c r="A54" s="37">
        <f>常分成績!E26</f>
        <v>20220191</v>
      </c>
      <c r="B54" s="37">
        <f>常分成績!F26</f>
        <v>23</v>
      </c>
      <c r="C54" s="38" t="s">
        <v>286</v>
      </c>
      <c r="D54" s="37" t="str">
        <f>常分成績!G26</f>
        <v>鄭博文</v>
      </c>
      <c r="E54" s="37">
        <f>常分成績!H26</f>
        <v>92</v>
      </c>
      <c r="F54" s="47">
        <v>97</v>
      </c>
    </row>
    <row r="55" spans="1:6">
      <c r="A55" s="37">
        <f>常分成績!E27</f>
        <v>20173026</v>
      </c>
      <c r="B55" s="37">
        <f>常分成績!F27</f>
        <v>24</v>
      </c>
      <c r="C55" s="38" t="s">
        <v>286</v>
      </c>
      <c r="D55" s="37" t="str">
        <f>常分成績!G27</f>
        <v>黎智傑</v>
      </c>
      <c r="E55" s="37">
        <f>常分成績!H27</f>
        <v>93</v>
      </c>
      <c r="F55" s="47">
        <v>91</v>
      </c>
    </row>
    <row r="56" spans="1:6">
      <c r="A56" s="37">
        <f>常分成績!E28</f>
        <v>20143113</v>
      </c>
      <c r="B56" s="37">
        <f>常分成績!F28</f>
        <v>25</v>
      </c>
      <c r="C56" s="38" t="s">
        <v>286</v>
      </c>
      <c r="D56" s="37" t="str">
        <f>常分成績!G28</f>
        <v>戴杏燕</v>
      </c>
      <c r="E56" s="37">
        <f>常分成績!H28</f>
        <v>92</v>
      </c>
      <c r="F56" s="47">
        <v>87</v>
      </c>
    </row>
    <row r="57" spans="1:6">
      <c r="A57" s="37">
        <f>常分成績!E29</f>
        <v>20133024</v>
      </c>
      <c r="B57" s="37">
        <f>常分成績!F29</f>
        <v>26</v>
      </c>
      <c r="C57" s="38" t="s">
        <v>286</v>
      </c>
      <c r="D57" s="37" t="str">
        <f>常分成績!G29</f>
        <v>譚芷琦</v>
      </c>
      <c r="E57" s="37">
        <f>常分成績!H29</f>
        <v>93</v>
      </c>
      <c r="F57" s="47">
        <v>90</v>
      </c>
    </row>
    <row r="58" spans="1:6">
      <c r="A58" s="37">
        <f>常分成績!E30</f>
        <v>20220120</v>
      </c>
      <c r="B58" s="37">
        <f>常分成績!F30</f>
        <v>27</v>
      </c>
      <c r="C58" s="38" t="s">
        <v>286</v>
      </c>
      <c r="D58" s="37" t="str">
        <f>常分成績!G30</f>
        <v>蘇聖鈞</v>
      </c>
      <c r="E58" s="37">
        <f>常分成績!H30</f>
        <v>92</v>
      </c>
      <c r="F58" s="47">
        <v>94</v>
      </c>
    </row>
    <row r="59" spans="1:6">
      <c r="A59" s="33"/>
      <c r="B59" s="33"/>
    </row>
    <row r="60" spans="1:6">
      <c r="A60" s="37">
        <f>常分成績!I4</f>
        <v>20230213</v>
      </c>
      <c r="B60" s="37">
        <f>常分成績!J4</f>
        <v>1</v>
      </c>
      <c r="C60" s="38" t="s">
        <v>299</v>
      </c>
      <c r="D60" s="37" t="str">
        <f>常分成績!K4</f>
        <v>尤嘉杰</v>
      </c>
      <c r="E60" s="37">
        <f>常分成績!L4</f>
        <v>90</v>
      </c>
      <c r="F60" s="47">
        <v>92</v>
      </c>
    </row>
    <row r="61" spans="1:6">
      <c r="A61" s="37">
        <f>常分成績!I5</f>
        <v>20190061</v>
      </c>
      <c r="B61" s="37">
        <f>常分成績!J5</f>
        <v>2</v>
      </c>
      <c r="C61" s="38" t="s">
        <v>299</v>
      </c>
      <c r="D61" s="37" t="str">
        <f>常分成績!K5</f>
        <v>尹霖</v>
      </c>
      <c r="E61" s="37">
        <f>常分成績!L5</f>
        <v>93</v>
      </c>
      <c r="F61" s="47">
        <v>93</v>
      </c>
    </row>
    <row r="62" spans="1:6">
      <c r="A62" s="37">
        <f>常分成績!I6</f>
        <v>20097078</v>
      </c>
      <c r="B62" s="37">
        <f>常分成績!J6</f>
        <v>3</v>
      </c>
      <c r="C62" s="38" t="s">
        <v>299</v>
      </c>
      <c r="D62" s="37" t="str">
        <f>常分成績!K6</f>
        <v>王子璇</v>
      </c>
      <c r="E62" s="37">
        <f>常分成績!L6</f>
        <v>93</v>
      </c>
      <c r="F62" s="47">
        <v>89</v>
      </c>
    </row>
    <row r="63" spans="1:6">
      <c r="A63" s="37">
        <f>常分成績!I7</f>
        <v>20200074</v>
      </c>
      <c r="B63" s="37">
        <f>常分成績!J7</f>
        <v>4</v>
      </c>
      <c r="C63" s="38" t="s">
        <v>299</v>
      </c>
      <c r="D63" s="37" t="str">
        <f>常分成績!K7</f>
        <v>古凌嫣</v>
      </c>
      <c r="E63" s="37">
        <f>常分成績!L7</f>
        <v>93</v>
      </c>
      <c r="F63" s="47">
        <v>96</v>
      </c>
    </row>
    <row r="64" spans="1:6">
      <c r="A64" s="37">
        <f>常分成績!I8</f>
        <v>20200175</v>
      </c>
      <c r="B64" s="37">
        <f>常分成績!J8</f>
        <v>5</v>
      </c>
      <c r="C64" s="38" t="s">
        <v>299</v>
      </c>
      <c r="D64" s="37" t="str">
        <f>常分成績!K8</f>
        <v>伍蕙君</v>
      </c>
      <c r="E64" s="37">
        <f>常分成績!L8</f>
        <v>93</v>
      </c>
      <c r="F64" s="47">
        <v>83</v>
      </c>
    </row>
    <row r="65" spans="1:6">
      <c r="A65" s="37">
        <f>常分成績!I9</f>
        <v>20220220</v>
      </c>
      <c r="B65" s="37">
        <f>常分成績!J9</f>
        <v>6</v>
      </c>
      <c r="C65" s="38" t="s">
        <v>299</v>
      </c>
      <c r="D65" s="37" t="str">
        <f>常分成績!K9</f>
        <v>何宇揚</v>
      </c>
      <c r="E65" s="37">
        <f>常分成績!L9</f>
        <v>93</v>
      </c>
      <c r="F65" s="47">
        <v>83</v>
      </c>
    </row>
    <row r="66" spans="1:6">
      <c r="A66" s="37">
        <f>常分成績!I10</f>
        <v>20210196</v>
      </c>
      <c r="B66" s="37">
        <f>常分成績!J10</f>
        <v>7</v>
      </c>
      <c r="C66" s="38" t="s">
        <v>299</v>
      </c>
      <c r="D66" s="37" t="str">
        <f>常分成績!K10</f>
        <v>李蓬承</v>
      </c>
      <c r="E66" s="37">
        <f>常分成績!L10</f>
        <v>90</v>
      </c>
      <c r="F66" s="47">
        <v>79</v>
      </c>
    </row>
    <row r="67" spans="1:6">
      <c r="A67" s="37">
        <f>常分成績!I11</f>
        <v>20102007</v>
      </c>
      <c r="B67" s="37">
        <f>常分成績!J11</f>
        <v>8</v>
      </c>
      <c r="C67" s="38" t="s">
        <v>299</v>
      </c>
      <c r="D67" s="37" t="str">
        <f>常分成績!K11</f>
        <v>林汶暉</v>
      </c>
      <c r="E67" s="37">
        <f>常分成績!L11</f>
        <v>90</v>
      </c>
      <c r="F67" s="47">
        <v>78</v>
      </c>
    </row>
    <row r="68" spans="1:6">
      <c r="A68" s="37">
        <f>常分成績!I12</f>
        <v>20220060</v>
      </c>
      <c r="B68" s="37">
        <f>常分成績!J12</f>
        <v>9</v>
      </c>
      <c r="C68" s="38" t="s">
        <v>299</v>
      </c>
      <c r="D68" s="37" t="str">
        <f>常分成績!K12</f>
        <v>林翰儒</v>
      </c>
      <c r="E68" s="37">
        <f>常分成績!L12</f>
        <v>92</v>
      </c>
      <c r="F68" s="47">
        <v>96</v>
      </c>
    </row>
    <row r="69" spans="1:6">
      <c r="A69" s="37">
        <f>常分成績!I13</f>
        <v>20163070</v>
      </c>
      <c r="B69" s="37">
        <f>常分成績!J13</f>
        <v>10</v>
      </c>
      <c r="C69" s="38" t="s">
        <v>299</v>
      </c>
      <c r="D69" s="37" t="str">
        <f>常分成績!K13</f>
        <v>胡善杰</v>
      </c>
      <c r="E69" s="37">
        <f>常分成績!L13</f>
        <v>90</v>
      </c>
      <c r="F69" s="47">
        <v>86</v>
      </c>
    </row>
    <row r="70" spans="1:6">
      <c r="A70" s="37">
        <f>常分成績!I14</f>
        <v>20153045</v>
      </c>
      <c r="B70" s="37">
        <f>常分成績!J14</f>
        <v>11</v>
      </c>
      <c r="C70" s="38" t="s">
        <v>299</v>
      </c>
      <c r="D70" s="37" t="str">
        <f>常分成績!K14</f>
        <v>梁家誠</v>
      </c>
      <c r="E70" s="37">
        <f>常分成績!L14</f>
        <v>93</v>
      </c>
      <c r="F70" s="47">
        <v>89</v>
      </c>
    </row>
    <row r="71" spans="1:6">
      <c r="A71" s="37">
        <f>常分成績!I15</f>
        <v>20190111</v>
      </c>
      <c r="B71" s="37">
        <f>常分成績!J15</f>
        <v>12</v>
      </c>
      <c r="C71" s="38" t="s">
        <v>299</v>
      </c>
      <c r="D71" s="37" t="str">
        <f>常分成績!K15</f>
        <v>許啓晟</v>
      </c>
      <c r="E71" s="37">
        <f>常分成績!L15</f>
        <v>93</v>
      </c>
      <c r="F71" s="47">
        <v>94</v>
      </c>
    </row>
    <row r="72" spans="1:6">
      <c r="A72" s="37">
        <f>常分成績!I16</f>
        <v>20163039</v>
      </c>
      <c r="B72" s="37">
        <f>常分成績!J16</f>
        <v>13</v>
      </c>
      <c r="C72" s="38" t="s">
        <v>299</v>
      </c>
      <c r="D72" s="37" t="str">
        <f>常分成績!K16</f>
        <v>許騰</v>
      </c>
      <c r="E72" s="37">
        <f>常分成績!L16</f>
        <v>92</v>
      </c>
      <c r="F72" s="47">
        <v>74</v>
      </c>
    </row>
    <row r="73" spans="1:6">
      <c r="A73" s="37">
        <f>常分成績!I17</f>
        <v>20143016</v>
      </c>
      <c r="B73" s="37">
        <f>常分成績!J17</f>
        <v>14</v>
      </c>
      <c r="C73" s="38" t="s">
        <v>299</v>
      </c>
      <c r="D73" s="37" t="str">
        <f>常分成績!K17</f>
        <v>郭健朗</v>
      </c>
      <c r="E73" s="37">
        <f>常分成績!L17</f>
        <v>90</v>
      </c>
      <c r="F73" s="47">
        <v>89</v>
      </c>
    </row>
    <row r="74" spans="1:6">
      <c r="A74" s="37">
        <f>常分成績!I18</f>
        <v>20112106</v>
      </c>
      <c r="B74" s="37">
        <f>常分成績!J18</f>
        <v>15</v>
      </c>
      <c r="C74" s="38" t="s">
        <v>299</v>
      </c>
      <c r="D74" s="37" t="str">
        <f>常分成績!K18</f>
        <v>陳輝騰</v>
      </c>
      <c r="E74" s="37">
        <f>常分成績!L18</f>
        <v>90</v>
      </c>
      <c r="F74" s="47">
        <v>87</v>
      </c>
    </row>
    <row r="75" spans="1:6">
      <c r="A75" s="37">
        <f>常分成績!I19</f>
        <v>20200159</v>
      </c>
      <c r="B75" s="37">
        <f>常分成績!J19</f>
        <v>16</v>
      </c>
      <c r="C75" s="38" t="s">
        <v>299</v>
      </c>
      <c r="D75" s="37" t="str">
        <f>常分成績!K19</f>
        <v>陳寶儀</v>
      </c>
      <c r="E75" s="37">
        <f>常分成績!L19</f>
        <v>93</v>
      </c>
      <c r="F75" s="47">
        <v>90</v>
      </c>
    </row>
    <row r="76" spans="1:6">
      <c r="A76" s="37">
        <f>常分成績!I20</f>
        <v>20220186</v>
      </c>
      <c r="B76" s="37">
        <f>常分成績!J20</f>
        <v>17</v>
      </c>
      <c r="C76" s="38" t="s">
        <v>299</v>
      </c>
      <c r="D76" s="37" t="str">
        <f>常分成績!K20</f>
        <v>曾韋祥</v>
      </c>
      <c r="E76" s="37">
        <f>常分成績!L20</f>
        <v>92</v>
      </c>
      <c r="F76" s="47">
        <v>93</v>
      </c>
    </row>
    <row r="77" spans="1:6">
      <c r="A77" s="37">
        <f>常分成績!I21</f>
        <v>20220068</v>
      </c>
      <c r="B77" s="37">
        <f>常分成績!J21</f>
        <v>18</v>
      </c>
      <c r="C77" s="38" t="s">
        <v>299</v>
      </c>
      <c r="D77" s="37" t="str">
        <f>常分成績!K21</f>
        <v>曾國鑫</v>
      </c>
      <c r="E77" s="37">
        <f>常分成績!L21</f>
        <v>92</v>
      </c>
      <c r="F77" s="47">
        <v>92</v>
      </c>
    </row>
    <row r="78" spans="1:6">
      <c r="A78" s="37">
        <f>常分成績!I22</f>
        <v>20220168</v>
      </c>
      <c r="B78" s="37">
        <f>常分成績!J22</f>
        <v>19</v>
      </c>
      <c r="C78" s="38" t="s">
        <v>299</v>
      </c>
      <c r="D78" s="37" t="str">
        <f>常分成績!K22</f>
        <v>黃紫璐</v>
      </c>
      <c r="E78" s="37">
        <f>常分成績!L22</f>
        <v>92</v>
      </c>
      <c r="F78" s="47">
        <v>85</v>
      </c>
    </row>
    <row r="79" spans="1:6">
      <c r="A79" s="37">
        <f>常分成績!I23</f>
        <v>20190013</v>
      </c>
      <c r="B79" s="37">
        <f>常分成績!J23</f>
        <v>20</v>
      </c>
      <c r="C79" s="38" t="s">
        <v>299</v>
      </c>
      <c r="D79" s="37" t="str">
        <f>常分成績!K23</f>
        <v>黃嘉欣</v>
      </c>
      <c r="E79" s="37">
        <f>常分成績!L23</f>
        <v>92</v>
      </c>
      <c r="F79" s="47">
        <v>73</v>
      </c>
    </row>
    <row r="80" spans="1:6">
      <c r="A80" s="37">
        <f>常分成績!I24</f>
        <v>20102047</v>
      </c>
      <c r="B80" s="37">
        <f>常分成績!J24</f>
        <v>21</v>
      </c>
      <c r="C80" s="38" t="s">
        <v>299</v>
      </c>
      <c r="D80" s="37" t="str">
        <f>常分成績!K24</f>
        <v>黃銘言</v>
      </c>
      <c r="E80" s="37">
        <f>常分成績!L24</f>
        <v>90</v>
      </c>
      <c r="F80" s="47">
        <v>82</v>
      </c>
    </row>
    <row r="81" spans="1:6">
      <c r="A81" s="37">
        <f>常分成績!I25</f>
        <v>20190075</v>
      </c>
      <c r="B81" s="37">
        <f>常分成績!J25</f>
        <v>22</v>
      </c>
      <c r="C81" s="38" t="s">
        <v>299</v>
      </c>
      <c r="D81" s="37" t="str">
        <f>常分成績!K25</f>
        <v>楊景程</v>
      </c>
      <c r="E81" s="37">
        <f>常分成績!L25</f>
        <v>90</v>
      </c>
      <c r="F81" s="47">
        <v>83</v>
      </c>
    </row>
    <row r="82" spans="1:6">
      <c r="A82" s="37">
        <f>常分成績!I26</f>
        <v>20220096</v>
      </c>
      <c r="B82" s="37">
        <f>常分成績!J26</f>
        <v>23</v>
      </c>
      <c r="C82" s="38" t="s">
        <v>299</v>
      </c>
      <c r="D82" s="37" t="str">
        <f>常分成績!K26</f>
        <v>葉思睿</v>
      </c>
      <c r="E82" s="37">
        <f>常分成績!L26</f>
        <v>92</v>
      </c>
      <c r="F82" s="47">
        <v>76</v>
      </c>
    </row>
    <row r="83" spans="1:6">
      <c r="A83" s="37">
        <f>常分成績!I27</f>
        <v>20220077</v>
      </c>
      <c r="B83" s="37">
        <f>常分成績!J27</f>
        <v>24</v>
      </c>
      <c r="C83" s="38" t="s">
        <v>299</v>
      </c>
      <c r="D83" s="37" t="str">
        <f>常分成績!K27</f>
        <v>廖嘉裕</v>
      </c>
      <c r="E83" s="37">
        <f>常分成績!L27</f>
        <v>92</v>
      </c>
      <c r="F83" s="47">
        <v>93</v>
      </c>
    </row>
    <row r="84" spans="1:6">
      <c r="A84" s="37">
        <f>常分成績!I28</f>
        <v>20102022</v>
      </c>
      <c r="B84" s="37">
        <f>常分成績!J28</f>
        <v>25</v>
      </c>
      <c r="C84" s="38" t="s">
        <v>299</v>
      </c>
      <c r="D84" s="37" t="str">
        <f>常分成績!K28</f>
        <v>廖鑫瑜</v>
      </c>
      <c r="E84" s="37">
        <f>常分成績!L28</f>
        <v>93</v>
      </c>
      <c r="F84" s="47">
        <v>91</v>
      </c>
    </row>
    <row r="85" spans="1:6">
      <c r="A85" s="37">
        <f>常分成績!I29</f>
        <v>20163081</v>
      </c>
      <c r="B85" s="37">
        <f>常分成績!J29</f>
        <v>26</v>
      </c>
      <c r="C85" s="38" t="s">
        <v>299</v>
      </c>
      <c r="D85" s="37" t="str">
        <f>常分成績!K29</f>
        <v>鄭嘉怡</v>
      </c>
      <c r="E85" s="37">
        <f>常分成績!L29</f>
        <v>93</v>
      </c>
      <c r="F85" s="47">
        <v>83</v>
      </c>
    </row>
    <row r="86" spans="1:6">
      <c r="A86" s="37">
        <f>常分成績!I30</f>
        <v>20220095</v>
      </c>
      <c r="B86" s="37">
        <f>常分成績!J30</f>
        <v>27</v>
      </c>
      <c r="C86" s="38" t="s">
        <v>299</v>
      </c>
      <c r="D86" s="37" t="str">
        <f>常分成績!K30</f>
        <v>黎晉彬</v>
      </c>
      <c r="E86" s="37">
        <f>常分成績!L30</f>
        <v>92</v>
      </c>
      <c r="F86" s="47">
        <v>90</v>
      </c>
    </row>
    <row r="87" spans="1:6">
      <c r="A87" s="33"/>
      <c r="B87" s="33"/>
    </row>
    <row r="88" spans="1:6">
      <c r="A88" s="37">
        <f>常分成績!M4</f>
        <v>20190043</v>
      </c>
      <c r="B88" s="37">
        <f>常分成績!N4</f>
        <v>1</v>
      </c>
      <c r="C88" s="38" t="s">
        <v>300</v>
      </c>
      <c r="D88" s="37" t="str">
        <f>常分成績!O4</f>
        <v>王家銘</v>
      </c>
      <c r="E88" s="37">
        <f>常分成績!P4</f>
        <v>88</v>
      </c>
      <c r="F88" s="47">
        <v>88</v>
      </c>
    </row>
    <row r="89" spans="1:6">
      <c r="A89" s="37">
        <f>常分成績!M5</f>
        <v>20220053</v>
      </c>
      <c r="B89" s="37">
        <f>常分成績!N5</f>
        <v>2</v>
      </c>
      <c r="C89" s="38" t="s">
        <v>300</v>
      </c>
      <c r="D89" s="37" t="str">
        <f>常分成績!O5</f>
        <v>伍智恒</v>
      </c>
      <c r="E89" s="37">
        <f>常分成績!P5</f>
        <v>90</v>
      </c>
      <c r="F89" s="47">
        <v>92</v>
      </c>
    </row>
    <row r="90" spans="1:6">
      <c r="A90" s="37">
        <f>常分成績!M6</f>
        <v>20220090</v>
      </c>
      <c r="B90" s="37">
        <f>常分成績!N6</f>
        <v>3</v>
      </c>
      <c r="C90" s="38" t="s">
        <v>300</v>
      </c>
      <c r="D90" s="37" t="str">
        <f>常分成績!O6</f>
        <v>何盛林</v>
      </c>
      <c r="E90" s="37">
        <f>常分成績!P6</f>
        <v>88</v>
      </c>
      <c r="F90" s="47">
        <v>97</v>
      </c>
    </row>
    <row r="91" spans="1:6">
      <c r="A91" s="37">
        <f>常分成績!M7</f>
        <v>20190011</v>
      </c>
      <c r="B91" s="37">
        <f>常分成績!N7</f>
        <v>4</v>
      </c>
      <c r="C91" s="38" t="s">
        <v>300</v>
      </c>
      <c r="D91" s="37" t="str">
        <f>常分成績!O7</f>
        <v>吳俊賢</v>
      </c>
      <c r="E91" s="37">
        <f>常分成績!P7</f>
        <v>85</v>
      </c>
      <c r="F91" s="47">
        <v>78</v>
      </c>
    </row>
    <row r="92" spans="1:6">
      <c r="A92" s="37">
        <f>常分成績!M8</f>
        <v>20230298</v>
      </c>
      <c r="B92" s="37">
        <f>常分成績!N8</f>
        <v>5</v>
      </c>
      <c r="C92" s="38" t="s">
        <v>300</v>
      </c>
      <c r="D92" s="37" t="str">
        <f>常分成績!O8</f>
        <v>李凱璇</v>
      </c>
      <c r="E92" s="37">
        <f>常分成績!P8</f>
        <v>90</v>
      </c>
      <c r="F92" s="47">
        <v>94</v>
      </c>
    </row>
    <row r="93" spans="1:6">
      <c r="A93" s="37">
        <f>常分成績!M9</f>
        <v>20153078</v>
      </c>
      <c r="B93" s="37">
        <f>常分成績!N9</f>
        <v>6</v>
      </c>
      <c r="C93" s="38" t="s">
        <v>300</v>
      </c>
      <c r="D93" s="37" t="str">
        <f>常分成績!O9</f>
        <v>林家逸</v>
      </c>
      <c r="E93" s="37">
        <f>常分成績!P9</f>
        <v>88</v>
      </c>
      <c r="F93" s="47">
        <v>87</v>
      </c>
    </row>
    <row r="94" spans="1:6">
      <c r="A94" s="37">
        <f>常分成績!M10</f>
        <v>20190082</v>
      </c>
      <c r="B94" s="37">
        <f>常分成績!N10</f>
        <v>7</v>
      </c>
      <c r="C94" s="38" t="s">
        <v>300</v>
      </c>
      <c r="D94" s="37" t="str">
        <f>常分成績!O10</f>
        <v>林靜瑜</v>
      </c>
      <c r="E94" s="37">
        <f>常分成績!P10</f>
        <v>90</v>
      </c>
      <c r="F94" s="47">
        <v>91</v>
      </c>
    </row>
    <row r="95" spans="1:6">
      <c r="A95" s="37">
        <f>常分成績!M11</f>
        <v>20220097</v>
      </c>
      <c r="B95" s="37">
        <f>常分成績!N11</f>
        <v>8</v>
      </c>
      <c r="C95" s="38" t="s">
        <v>300</v>
      </c>
      <c r="D95" s="37" t="str">
        <f>常分成績!O11</f>
        <v>康昊明</v>
      </c>
      <c r="E95" s="37">
        <f>常分成績!P11</f>
        <v>93</v>
      </c>
      <c r="F95" s="47">
        <v>86</v>
      </c>
    </row>
    <row r="96" spans="1:6">
      <c r="A96" s="37">
        <f>常分成績!M12</f>
        <v>20220142</v>
      </c>
      <c r="B96" s="37">
        <f>常分成績!N12</f>
        <v>9</v>
      </c>
      <c r="C96" s="38" t="s">
        <v>300</v>
      </c>
      <c r="D96" s="37" t="str">
        <f>常分成績!O12</f>
        <v>梁咏詩</v>
      </c>
      <c r="E96" s="37">
        <f>常分成績!P12</f>
        <v>88</v>
      </c>
      <c r="F96" s="47">
        <v>96</v>
      </c>
    </row>
    <row r="97" spans="1:6">
      <c r="A97" s="37">
        <f>常分成績!M13</f>
        <v>20220086</v>
      </c>
      <c r="B97" s="37">
        <f>常分成績!N13</f>
        <v>10</v>
      </c>
      <c r="C97" s="38" t="s">
        <v>300</v>
      </c>
      <c r="D97" s="37" t="str">
        <f>常分成績!O13</f>
        <v>梁語倩</v>
      </c>
      <c r="E97" s="37">
        <f>常分成績!P13</f>
        <v>93</v>
      </c>
      <c r="F97" s="47">
        <v>92</v>
      </c>
    </row>
    <row r="98" spans="1:6">
      <c r="A98" s="37">
        <f>常分成績!M14</f>
        <v>20200095</v>
      </c>
      <c r="B98" s="37">
        <f>常分成績!N14</f>
        <v>11</v>
      </c>
      <c r="C98" s="38" t="s">
        <v>300</v>
      </c>
      <c r="D98" s="37" t="str">
        <f>常分成績!O14</f>
        <v>陳子晴</v>
      </c>
      <c r="E98" s="37">
        <f>常分成績!P14</f>
        <v>93</v>
      </c>
      <c r="F98" s="47">
        <v>96</v>
      </c>
    </row>
    <row r="99" spans="1:6">
      <c r="A99" s="37">
        <f>常分成績!M15</f>
        <v>20133015</v>
      </c>
      <c r="B99" s="37">
        <f>常分成績!N15</f>
        <v>12</v>
      </c>
      <c r="C99" s="38" t="s">
        <v>300</v>
      </c>
      <c r="D99" s="37" t="str">
        <f>常分成績!O15</f>
        <v>陳俊良</v>
      </c>
      <c r="E99" s="37">
        <f>常分成績!P15</f>
        <v>92</v>
      </c>
      <c r="F99" s="47">
        <v>90</v>
      </c>
    </row>
    <row r="100" spans="1:6">
      <c r="A100" s="37">
        <f>常分成績!M16</f>
        <v>20220185</v>
      </c>
      <c r="B100" s="37">
        <f>常分成績!N16</f>
        <v>13</v>
      </c>
      <c r="C100" s="38" t="s">
        <v>300</v>
      </c>
      <c r="D100" s="37" t="str">
        <f>常分成績!O16</f>
        <v>陳嘉和</v>
      </c>
      <c r="E100" s="37">
        <f>常分成績!P16</f>
        <v>90</v>
      </c>
      <c r="F100" s="47">
        <v>81</v>
      </c>
    </row>
    <row r="101" spans="1:6">
      <c r="A101" s="37">
        <f>常分成績!M17</f>
        <v>20220094</v>
      </c>
      <c r="B101" s="37">
        <f>常分成績!N17</f>
        <v>14</v>
      </c>
      <c r="C101" s="38" t="s">
        <v>300</v>
      </c>
      <c r="D101" s="37" t="str">
        <f>常分成績!O17</f>
        <v>陳嘉駿</v>
      </c>
      <c r="E101" s="37">
        <f>常分成績!P17</f>
        <v>90</v>
      </c>
      <c r="F101" s="47">
        <v>60</v>
      </c>
    </row>
    <row r="102" spans="1:6">
      <c r="A102" s="37">
        <f>常分成績!M18</f>
        <v>20200096</v>
      </c>
      <c r="B102" s="37">
        <f>常分成績!N18</f>
        <v>15</v>
      </c>
      <c r="C102" s="38" t="s">
        <v>300</v>
      </c>
      <c r="D102" s="37" t="str">
        <f>常分成績!O18</f>
        <v>陳夢婷</v>
      </c>
      <c r="E102" s="37">
        <f>常分成績!P18</f>
        <v>88</v>
      </c>
      <c r="F102" s="47">
        <v>78</v>
      </c>
    </row>
    <row r="103" spans="1:6">
      <c r="A103" s="37">
        <f>常分成績!M19</f>
        <v>20210120</v>
      </c>
      <c r="B103" s="37">
        <f>常分成績!N19</f>
        <v>16</v>
      </c>
      <c r="C103" s="38" t="s">
        <v>300</v>
      </c>
      <c r="D103" s="37" t="str">
        <f>常分成績!O19</f>
        <v>陳鵬先</v>
      </c>
      <c r="E103" s="37">
        <f>常分成績!P19</f>
        <v>90</v>
      </c>
      <c r="F103" s="47">
        <v>91</v>
      </c>
    </row>
    <row r="104" spans="1:6">
      <c r="A104" s="37">
        <f>常分成績!M20</f>
        <v>20190178</v>
      </c>
      <c r="B104" s="37">
        <f>常分成績!N20</f>
        <v>17</v>
      </c>
      <c r="C104" s="38" t="s">
        <v>300</v>
      </c>
      <c r="D104" s="37" t="str">
        <f>常分成績!O20</f>
        <v>喬馨</v>
      </c>
      <c r="E104" s="37">
        <f>常分成績!P20</f>
        <v>87</v>
      </c>
      <c r="F104" s="47">
        <v>91</v>
      </c>
    </row>
    <row r="105" spans="1:6">
      <c r="A105" s="37">
        <f>常分成績!M21</f>
        <v>20220063</v>
      </c>
      <c r="B105" s="37">
        <f>常分成績!N21</f>
        <v>18</v>
      </c>
      <c r="C105" s="38" t="s">
        <v>300</v>
      </c>
      <c r="D105" s="37" t="str">
        <f>常分成績!O21</f>
        <v>蔡昊辰</v>
      </c>
      <c r="E105" s="37">
        <f>常分成績!P21</f>
        <v>92</v>
      </c>
      <c r="F105" s="47">
        <v>85</v>
      </c>
    </row>
    <row r="106" spans="1:6">
      <c r="A106" s="37">
        <f>常分成績!M22</f>
        <v>20122135</v>
      </c>
      <c r="B106" s="37">
        <f>常分成績!N22</f>
        <v>19</v>
      </c>
      <c r="C106" s="38" t="s">
        <v>300</v>
      </c>
      <c r="D106" s="37" t="str">
        <f>常分成績!O22</f>
        <v>鄭偉成</v>
      </c>
      <c r="E106" s="37">
        <f>常分成績!P22</f>
        <v>90</v>
      </c>
      <c r="F106" s="47">
        <v>87</v>
      </c>
    </row>
    <row r="107" spans="1:6">
      <c r="A107" s="37">
        <f>常分成績!M23</f>
        <v>20190078</v>
      </c>
      <c r="B107" s="37">
        <f>常分成績!N23</f>
        <v>20</v>
      </c>
      <c r="C107" s="38" t="s">
        <v>300</v>
      </c>
      <c r="D107" s="37" t="str">
        <f>常分成績!O23</f>
        <v>賴佳亮</v>
      </c>
      <c r="E107" s="37">
        <f>常分成績!P23</f>
        <v>92</v>
      </c>
      <c r="F107" s="47">
        <v>97</v>
      </c>
    </row>
    <row r="108" spans="1:6">
      <c r="A108" s="37">
        <f>常分成績!M24</f>
        <v>20220071</v>
      </c>
      <c r="B108" s="37">
        <f>常分成績!N24</f>
        <v>21</v>
      </c>
      <c r="C108" s="38" t="s">
        <v>300</v>
      </c>
      <c r="D108" s="37" t="str">
        <f>常分成績!O24</f>
        <v>藍田</v>
      </c>
      <c r="E108" s="37">
        <f>常分成績!P24</f>
        <v>93</v>
      </c>
      <c r="F108" s="47">
        <v>97</v>
      </c>
    </row>
    <row r="109" spans="1:6">
      <c r="A109" s="37">
        <f>常分成績!M25</f>
        <v>20190008</v>
      </c>
      <c r="B109" s="37">
        <f>常分成績!N25</f>
        <v>22</v>
      </c>
      <c r="C109" s="38" t="s">
        <v>300</v>
      </c>
      <c r="D109" s="37" t="str">
        <f>常分成績!O25</f>
        <v>顏鴻銘</v>
      </c>
      <c r="E109" s="37">
        <f>常分成績!P25</f>
        <v>87</v>
      </c>
      <c r="F109" s="47">
        <v>82</v>
      </c>
    </row>
    <row r="110" spans="1:6">
      <c r="A110" s="37">
        <f>常分成績!M26</f>
        <v>20102053</v>
      </c>
      <c r="B110" s="37">
        <f>常分成績!N26</f>
        <v>23</v>
      </c>
      <c r="C110" s="38" t="s">
        <v>300</v>
      </c>
      <c r="D110" s="37" t="str">
        <f>常分成績!O26</f>
        <v>譚卓星</v>
      </c>
      <c r="E110" s="37">
        <f>常分成績!P26</f>
        <v>87</v>
      </c>
      <c r="F110" s="47">
        <v>90</v>
      </c>
    </row>
    <row r="111" spans="1:6">
      <c r="A111" s="37">
        <f>常分成績!M27</f>
        <v>20200188</v>
      </c>
      <c r="B111" s="37">
        <f>常分成績!N27</f>
        <v>24</v>
      </c>
      <c r="C111" s="38" t="s">
        <v>300</v>
      </c>
      <c r="D111" s="37" t="str">
        <f>常分成績!O27</f>
        <v>續卓宇</v>
      </c>
      <c r="E111" s="37">
        <f>常分成績!P27</f>
        <v>88</v>
      </c>
      <c r="F111" s="47">
        <v>91</v>
      </c>
    </row>
    <row r="112" spans="1:6">
      <c r="A112" s="37">
        <f>常分成績!M28</f>
        <v>20230345</v>
      </c>
      <c r="B112" s="37">
        <f>常分成績!N28</f>
        <v>25</v>
      </c>
      <c r="C112" s="38" t="s">
        <v>300</v>
      </c>
      <c r="D112" s="37" t="str">
        <f>常分成績!O28</f>
        <v>楊豐嘉</v>
      </c>
      <c r="E112" s="37">
        <f>常分成績!P28</f>
        <v>92</v>
      </c>
      <c r="F112" s="47">
        <v>87</v>
      </c>
    </row>
    <row r="113" spans="1:6">
      <c r="A113" s="37">
        <f>常分成績!M29</f>
        <v>20240363</v>
      </c>
      <c r="B113" s="37">
        <f>常分成績!N29</f>
        <v>26</v>
      </c>
      <c r="C113" s="38" t="s">
        <v>300</v>
      </c>
      <c r="D113" s="37" t="str">
        <f>常分成績!O29</f>
        <v>黃思棋</v>
      </c>
      <c r="E113" s="37">
        <f>常分成績!P29</f>
        <v>88</v>
      </c>
      <c r="F113" s="47">
        <v>72</v>
      </c>
    </row>
    <row r="114" spans="1:6">
      <c r="A114" s="33"/>
      <c r="B114" s="33"/>
    </row>
    <row r="115" spans="1:6">
      <c r="A115" s="37">
        <f>常分成績!Q4</f>
        <v>20190080</v>
      </c>
      <c r="B115" s="37">
        <f>常分成績!R4</f>
        <v>1</v>
      </c>
      <c r="C115" s="38" t="s">
        <v>301</v>
      </c>
      <c r="D115" s="37" t="str">
        <f>常分成績!S4</f>
        <v>吳翠瑩</v>
      </c>
      <c r="E115" s="37">
        <f>常分成績!T4</f>
        <v>93</v>
      </c>
      <c r="F115" s="47">
        <v>95</v>
      </c>
    </row>
    <row r="116" spans="1:6">
      <c r="A116" s="37">
        <f>常分成績!Q5</f>
        <v>20230348</v>
      </c>
      <c r="B116" s="37">
        <f>常分成績!R5</f>
        <v>2</v>
      </c>
      <c r="C116" s="38" t="s">
        <v>301</v>
      </c>
      <c r="D116" s="37" t="str">
        <f>常分成績!S5</f>
        <v>宋興喆</v>
      </c>
      <c r="E116" s="37">
        <f>常分成績!T5</f>
        <v>90</v>
      </c>
      <c r="F116" s="47">
        <v>92</v>
      </c>
    </row>
    <row r="117" spans="1:6">
      <c r="A117" s="37">
        <f>常分成績!Q6</f>
        <v>20190190</v>
      </c>
      <c r="B117" s="37">
        <f>常分成績!R6</f>
        <v>3</v>
      </c>
      <c r="C117" s="38" t="s">
        <v>301</v>
      </c>
      <c r="D117" s="37" t="str">
        <f>常分成績!S6</f>
        <v>李嘉杰</v>
      </c>
      <c r="E117" s="37">
        <f>常分成績!T6</f>
        <v>93</v>
      </c>
      <c r="F117" s="47">
        <v>88</v>
      </c>
    </row>
    <row r="118" spans="1:6">
      <c r="A118" s="37">
        <f>常分成績!Q7</f>
        <v>20122139</v>
      </c>
      <c r="B118" s="37">
        <f>常分成績!R7</f>
        <v>4</v>
      </c>
      <c r="C118" s="38" t="s">
        <v>301</v>
      </c>
      <c r="D118" s="37" t="str">
        <f>常分成績!S7</f>
        <v>林子俊</v>
      </c>
      <c r="E118" s="37">
        <f>常分成績!T7</f>
        <v>90</v>
      </c>
      <c r="F118" s="47">
        <v>88</v>
      </c>
    </row>
    <row r="119" spans="1:6">
      <c r="A119" s="37">
        <f>常分成績!Q8</f>
        <v>20220175</v>
      </c>
      <c r="B119" s="37">
        <f>常分成績!R8</f>
        <v>5</v>
      </c>
      <c r="C119" s="38" t="s">
        <v>301</v>
      </c>
      <c r="D119" s="37" t="str">
        <f>常分成績!S8</f>
        <v>林靖瑜</v>
      </c>
      <c r="E119" s="37">
        <f>常分成績!T8</f>
        <v>90</v>
      </c>
      <c r="F119" s="47">
        <v>83</v>
      </c>
    </row>
    <row r="120" spans="1:6">
      <c r="A120" s="37">
        <f>常分成績!Q9</f>
        <v>20102035</v>
      </c>
      <c r="B120" s="37">
        <f>常分成績!R9</f>
        <v>6</v>
      </c>
      <c r="C120" s="38" t="s">
        <v>301</v>
      </c>
      <c r="D120" s="37" t="str">
        <f>常分成績!S9</f>
        <v>唐海敏</v>
      </c>
      <c r="E120" s="37">
        <f>常分成績!T9</f>
        <v>90</v>
      </c>
      <c r="F120" s="47">
        <v>74</v>
      </c>
    </row>
    <row r="121" spans="1:6">
      <c r="A121" s="37">
        <f>常分成績!Q10</f>
        <v>20220082</v>
      </c>
      <c r="B121" s="37">
        <f>常分成績!R10</f>
        <v>7</v>
      </c>
      <c r="C121" s="38" t="s">
        <v>301</v>
      </c>
      <c r="D121" s="37" t="str">
        <f>常分成績!S10</f>
        <v>徐朗庭</v>
      </c>
      <c r="E121" s="37">
        <f>常分成績!T10</f>
        <v>90</v>
      </c>
      <c r="F121" s="47">
        <v>90</v>
      </c>
    </row>
    <row r="122" spans="1:6">
      <c r="A122" s="37">
        <f>常分成績!Q11</f>
        <v>20220091</v>
      </c>
      <c r="B122" s="37">
        <f>常分成績!R11</f>
        <v>8</v>
      </c>
      <c r="C122" s="38" t="s">
        <v>301</v>
      </c>
      <c r="D122" s="37" t="str">
        <f>常分成績!S11</f>
        <v>曹越</v>
      </c>
      <c r="E122" s="37">
        <f>常分成績!T11</f>
        <v>92</v>
      </c>
      <c r="F122" s="47">
        <v>94</v>
      </c>
    </row>
    <row r="123" spans="1:6">
      <c r="A123" s="37">
        <f>常分成績!Q12</f>
        <v>20122133</v>
      </c>
      <c r="B123" s="37">
        <f>常分成績!R12</f>
        <v>9</v>
      </c>
      <c r="C123" s="38" t="s">
        <v>301</v>
      </c>
      <c r="D123" s="37" t="str">
        <f>常分成績!S12</f>
        <v>梁啓邦</v>
      </c>
      <c r="E123" s="37">
        <f>常分成績!T12</f>
        <v>90</v>
      </c>
      <c r="F123" s="47">
        <v>81</v>
      </c>
    </row>
    <row r="124" spans="1:6">
      <c r="A124" s="37">
        <f>常分成績!Q13</f>
        <v>20230301</v>
      </c>
      <c r="B124" s="37">
        <f>常分成績!R13</f>
        <v>10</v>
      </c>
      <c r="C124" s="38" t="s">
        <v>301</v>
      </c>
      <c r="D124" s="37" t="str">
        <f>常分成績!S13</f>
        <v>莊欣怡</v>
      </c>
      <c r="E124" s="37">
        <f>常分成績!T13</f>
        <v>90</v>
      </c>
      <c r="F124" s="47">
        <v>92</v>
      </c>
    </row>
    <row r="125" spans="1:6">
      <c r="A125" s="37">
        <f>常分成績!Q14</f>
        <v>20220223</v>
      </c>
      <c r="B125" s="37">
        <f>常分成績!R14</f>
        <v>11</v>
      </c>
      <c r="C125" s="38" t="s">
        <v>301</v>
      </c>
      <c r="D125" s="37" t="str">
        <f>常分成績!S14</f>
        <v>莊梓程</v>
      </c>
      <c r="E125" s="37">
        <f>常分成績!T14</f>
        <v>88</v>
      </c>
      <c r="F125" s="47">
        <v>74</v>
      </c>
    </row>
    <row r="126" spans="1:6">
      <c r="A126" s="37">
        <f>常分成績!Q15</f>
        <v>20163053</v>
      </c>
      <c r="B126" s="37">
        <f>常分成績!R15</f>
        <v>12</v>
      </c>
      <c r="C126" s="38" t="s">
        <v>301</v>
      </c>
      <c r="D126" s="37" t="str">
        <f>常分成績!S15</f>
        <v>陳宏杰</v>
      </c>
      <c r="E126" s="37">
        <f>常分成績!T15</f>
        <v>92</v>
      </c>
      <c r="F126" s="47">
        <v>83</v>
      </c>
    </row>
    <row r="127" spans="1:6">
      <c r="A127" s="37">
        <f>常分成績!Q16</f>
        <v>20102067</v>
      </c>
      <c r="B127" s="37">
        <f>常分成績!R16</f>
        <v>13</v>
      </c>
      <c r="C127" s="38" t="s">
        <v>301</v>
      </c>
      <c r="D127" s="37" t="str">
        <f>常分成績!S16</f>
        <v>陳洛恆</v>
      </c>
      <c r="E127" s="37">
        <f>常分成績!T16</f>
        <v>88</v>
      </c>
      <c r="F127" s="47">
        <v>85</v>
      </c>
    </row>
    <row r="128" spans="1:6">
      <c r="A128" s="37">
        <f>常分成績!Q17</f>
        <v>20102012</v>
      </c>
      <c r="B128" s="37">
        <f>常分成績!R17</f>
        <v>14</v>
      </c>
      <c r="C128" s="38" t="s">
        <v>301</v>
      </c>
      <c r="D128" s="37" t="str">
        <f>常分成績!S17</f>
        <v>陳偉翀</v>
      </c>
      <c r="E128" s="37">
        <f>常分成績!T17</f>
        <v>92</v>
      </c>
      <c r="F128" s="47">
        <v>88</v>
      </c>
    </row>
    <row r="129" spans="1:6">
      <c r="A129" s="37">
        <f>常分成績!Q18</f>
        <v>20143073</v>
      </c>
      <c r="B129" s="37">
        <f>常分成績!R18</f>
        <v>15</v>
      </c>
      <c r="C129" s="38" t="s">
        <v>301</v>
      </c>
      <c r="D129" s="37" t="str">
        <f>常分成績!S18</f>
        <v>陳韵霖</v>
      </c>
      <c r="E129" s="37">
        <f>常分成績!T18</f>
        <v>90</v>
      </c>
      <c r="F129" s="47">
        <v>89</v>
      </c>
    </row>
    <row r="130" spans="1:6">
      <c r="A130" s="37">
        <f>常分成績!Q19</f>
        <v>20190103</v>
      </c>
      <c r="B130" s="37">
        <f>常分成績!R19</f>
        <v>16</v>
      </c>
      <c r="C130" s="38" t="s">
        <v>301</v>
      </c>
      <c r="D130" s="37" t="str">
        <f>常分成績!S19</f>
        <v>陳綽賢</v>
      </c>
      <c r="E130" s="37">
        <f>常分成績!T19</f>
        <v>90</v>
      </c>
      <c r="F130" s="47">
        <v>87</v>
      </c>
    </row>
    <row r="131" spans="1:6">
      <c r="A131" s="37">
        <f>常分成績!Q20</f>
        <v>20190210</v>
      </c>
      <c r="B131" s="37">
        <f>常分成績!R20</f>
        <v>17</v>
      </c>
      <c r="C131" s="38" t="s">
        <v>301</v>
      </c>
      <c r="D131" s="37" t="str">
        <f>常分成績!S20</f>
        <v>陳澤汶</v>
      </c>
      <c r="E131" s="37">
        <f>常分成績!T20</f>
        <v>93</v>
      </c>
      <c r="F131" s="47">
        <v>89</v>
      </c>
    </row>
    <row r="132" spans="1:6">
      <c r="A132" s="37">
        <f>常分成績!Q21</f>
        <v>20230212</v>
      </c>
      <c r="B132" s="37">
        <f>常分成績!R21</f>
        <v>18</v>
      </c>
      <c r="C132" s="38" t="s">
        <v>301</v>
      </c>
      <c r="D132" s="37" t="str">
        <f>常分成績!S21</f>
        <v>黃雯楚</v>
      </c>
      <c r="E132" s="37">
        <f>常分成績!T21</f>
        <v>92</v>
      </c>
      <c r="F132" s="47">
        <v>91</v>
      </c>
    </row>
    <row r="133" spans="1:6">
      <c r="A133" s="37">
        <f>常分成績!Q22</f>
        <v>20180120</v>
      </c>
      <c r="B133" s="37">
        <f>常分成績!R22</f>
        <v>19</v>
      </c>
      <c r="C133" s="38" t="s">
        <v>301</v>
      </c>
      <c r="D133" s="37" t="str">
        <f>常分成績!S22</f>
        <v>黃澤森</v>
      </c>
      <c r="E133" s="37">
        <f>常分成績!T22</f>
        <v>90</v>
      </c>
      <c r="F133" s="47">
        <v>90</v>
      </c>
    </row>
    <row r="134" spans="1:6">
      <c r="A134" s="37">
        <f>常分成績!Q23</f>
        <v>20220100</v>
      </c>
      <c r="B134" s="37">
        <f>常分成績!R23</f>
        <v>20</v>
      </c>
      <c r="C134" s="38" t="s">
        <v>301</v>
      </c>
      <c r="D134" s="37" t="str">
        <f>常分成績!S23</f>
        <v>楊霏</v>
      </c>
      <c r="E134" s="37">
        <f>常分成績!T23</f>
        <v>93</v>
      </c>
      <c r="F134" s="47">
        <v>83</v>
      </c>
    </row>
    <row r="135" spans="1:6">
      <c r="A135" s="37">
        <f>常分成績!Q24</f>
        <v>20190073</v>
      </c>
      <c r="B135" s="37">
        <f>常分成績!R24</f>
        <v>21</v>
      </c>
      <c r="C135" s="38" t="s">
        <v>301</v>
      </c>
      <c r="D135" s="37" t="str">
        <f>常分成績!S24</f>
        <v>劉宜鑫</v>
      </c>
      <c r="E135" s="37">
        <f>常分成績!T24</f>
        <v>90</v>
      </c>
      <c r="F135" s="47">
        <v>90</v>
      </c>
    </row>
    <row r="136" spans="1:6">
      <c r="A136" s="37">
        <f>常分成績!Q25</f>
        <v>20133021</v>
      </c>
      <c r="B136" s="37">
        <f>常分成績!R25</f>
        <v>22</v>
      </c>
      <c r="C136" s="38" t="s">
        <v>301</v>
      </c>
      <c r="D136" s="37" t="str">
        <f>常分成績!S25</f>
        <v>劉俊謙</v>
      </c>
      <c r="E136" s="37">
        <f>常分成績!T25</f>
        <v>90</v>
      </c>
      <c r="F136" s="47">
        <v>72</v>
      </c>
    </row>
    <row r="137" spans="1:6">
      <c r="A137" s="37">
        <f>常分成績!Q26</f>
        <v>20122142</v>
      </c>
      <c r="B137" s="37">
        <f>常分成績!R26</f>
        <v>23</v>
      </c>
      <c r="C137" s="38" t="s">
        <v>301</v>
      </c>
      <c r="D137" s="37" t="str">
        <f>常分成績!S26</f>
        <v>劉淇峰</v>
      </c>
      <c r="E137" s="37">
        <f>常分成績!T26</f>
        <v>92</v>
      </c>
      <c r="F137" s="47">
        <v>84</v>
      </c>
    </row>
    <row r="138" spans="1:6">
      <c r="A138" s="37">
        <f>常分成績!Q27</f>
        <v>20163082</v>
      </c>
      <c r="B138" s="37">
        <f>常分成績!R27</f>
        <v>24</v>
      </c>
      <c r="C138" s="38" t="s">
        <v>301</v>
      </c>
      <c r="D138" s="37" t="str">
        <f>常分成績!S27</f>
        <v>鄭嘉欣</v>
      </c>
      <c r="E138" s="37">
        <f>常分成績!T27</f>
        <v>93</v>
      </c>
      <c r="F138" s="47">
        <v>93</v>
      </c>
    </row>
    <row r="139" spans="1:6">
      <c r="A139" s="37">
        <f>常分成績!Q28</f>
        <v>20102024</v>
      </c>
      <c r="B139" s="37">
        <f>常分成績!R28</f>
        <v>25</v>
      </c>
      <c r="C139" s="38" t="s">
        <v>301</v>
      </c>
      <c r="D139" s="37" t="str">
        <f>常分成績!S28</f>
        <v>黎健恆</v>
      </c>
      <c r="E139" s="37">
        <f>常分成績!T28</f>
        <v>92</v>
      </c>
      <c r="F139" s="47">
        <v>79</v>
      </c>
    </row>
    <row r="140" spans="1:6">
      <c r="A140" s="37">
        <f>常分成績!Q29</f>
        <v>20210222</v>
      </c>
      <c r="B140" s="37">
        <f>常分成績!R29</f>
        <v>26</v>
      </c>
      <c r="C140" s="38" t="s">
        <v>301</v>
      </c>
      <c r="D140" s="37" t="str">
        <f>常分成績!S29</f>
        <v>謝瑞欽</v>
      </c>
      <c r="E140" s="37">
        <f>常分成績!T29</f>
        <v>92</v>
      </c>
      <c r="F140" s="47">
        <v>84</v>
      </c>
    </row>
    <row r="141" spans="1:6">
      <c r="A141" s="37">
        <f>常分成績!Q30</f>
        <v>20220089</v>
      </c>
      <c r="B141" s="37">
        <f>常分成績!R30</f>
        <v>27</v>
      </c>
      <c r="C141" s="38" t="s">
        <v>301</v>
      </c>
      <c r="D141" s="37" t="str">
        <f>常分成績!S30</f>
        <v>羅毅泓</v>
      </c>
      <c r="E141" s="37">
        <f>常分成績!T30</f>
        <v>90</v>
      </c>
      <c r="F141" s="47">
        <v>78</v>
      </c>
    </row>
    <row r="142" spans="1:6">
      <c r="A142" s="33"/>
      <c r="B142" s="33"/>
    </row>
    <row r="143" spans="1:6">
      <c r="A143" s="37">
        <f>常分成績!U4</f>
        <v>20190231</v>
      </c>
      <c r="B143" s="37">
        <f>常分成績!V4</f>
        <v>1</v>
      </c>
      <c r="C143" s="38" t="s">
        <v>302</v>
      </c>
      <c r="D143" s="37" t="str">
        <f>常分成績!W4</f>
        <v>尤欣鈮</v>
      </c>
      <c r="E143" s="37">
        <f>常分成績!X4</f>
        <v>97</v>
      </c>
      <c r="F143" s="47">
        <v>96</v>
      </c>
    </row>
    <row r="144" spans="1:6">
      <c r="A144" s="37">
        <f>常分成績!U5</f>
        <v>20190004</v>
      </c>
      <c r="B144" s="37">
        <f>常分成績!V5</f>
        <v>2</v>
      </c>
      <c r="C144" s="38" t="s">
        <v>302</v>
      </c>
      <c r="D144" s="37" t="str">
        <f>常分成績!W5</f>
        <v>王馨如</v>
      </c>
      <c r="E144" s="37">
        <f>常分成績!X5</f>
        <v>92</v>
      </c>
      <c r="F144" s="47">
        <v>94</v>
      </c>
    </row>
    <row r="145" spans="1:6">
      <c r="A145" s="37">
        <f>常分成績!U6</f>
        <v>20210122</v>
      </c>
      <c r="B145" s="37">
        <f>常分成績!V6</f>
        <v>3</v>
      </c>
      <c r="C145" s="38" t="s">
        <v>302</v>
      </c>
      <c r="D145" s="37" t="str">
        <f>常分成績!W6</f>
        <v>石子伊</v>
      </c>
      <c r="E145" s="37">
        <f>常分成績!X6</f>
        <v>92</v>
      </c>
      <c r="F145" s="47">
        <v>92</v>
      </c>
    </row>
    <row r="146" spans="1:6">
      <c r="A146" s="37">
        <f>常分成績!U7</f>
        <v>20220101</v>
      </c>
      <c r="B146" s="37">
        <f>常分成績!V7</f>
        <v>4</v>
      </c>
      <c r="C146" s="38" t="s">
        <v>302</v>
      </c>
      <c r="D146" s="37" t="str">
        <f>常分成績!W7</f>
        <v>余珊姍</v>
      </c>
      <c r="E146" s="37">
        <f>常分成績!X7</f>
        <v>98</v>
      </c>
      <c r="F146" s="47">
        <v>86</v>
      </c>
    </row>
    <row r="147" spans="1:6">
      <c r="A147" s="37">
        <f>常分成績!U8</f>
        <v>20190012</v>
      </c>
      <c r="B147" s="37">
        <f>常分成績!V8</f>
        <v>5</v>
      </c>
      <c r="C147" s="38" t="s">
        <v>302</v>
      </c>
      <c r="D147" s="37" t="str">
        <f>常分成績!W8</f>
        <v>吳詩婷</v>
      </c>
      <c r="E147" s="37">
        <f>常分成績!X8</f>
        <v>90</v>
      </c>
      <c r="F147" s="47">
        <v>93</v>
      </c>
    </row>
    <row r="148" spans="1:6">
      <c r="A148" s="37">
        <f>常分成績!U9</f>
        <v>20190063</v>
      </c>
      <c r="B148" s="37">
        <f>常分成績!V9</f>
        <v>6</v>
      </c>
      <c r="C148" s="38" t="s">
        <v>302</v>
      </c>
      <c r="D148" s="37" t="str">
        <f>常分成績!W9</f>
        <v>吳艷銘</v>
      </c>
      <c r="E148" s="37">
        <f>常分成績!X9</f>
        <v>98</v>
      </c>
      <c r="F148" s="47">
        <v>100</v>
      </c>
    </row>
    <row r="149" spans="1:6">
      <c r="A149" s="37">
        <f>常分成績!U10</f>
        <v>20230310</v>
      </c>
      <c r="B149" s="37">
        <f>常分成績!V10</f>
        <v>7</v>
      </c>
      <c r="C149" s="38" t="s">
        <v>302</v>
      </c>
      <c r="D149" s="37" t="str">
        <f>常分成績!W10</f>
        <v>呂靖雯</v>
      </c>
      <c r="E149" s="37">
        <f>常分成績!X10</f>
        <v>97</v>
      </c>
      <c r="F149" s="47">
        <v>93</v>
      </c>
    </row>
    <row r="150" spans="1:6">
      <c r="A150" s="37">
        <f>常分成績!U11</f>
        <v>20210184</v>
      </c>
      <c r="B150" s="37">
        <f>常分成績!V11</f>
        <v>8</v>
      </c>
      <c r="C150" s="38" t="s">
        <v>302</v>
      </c>
      <c r="D150" s="37" t="str">
        <f>常分成績!W11</f>
        <v>阮正坤</v>
      </c>
      <c r="E150" s="37">
        <f>常分成績!X11</f>
        <v>98</v>
      </c>
      <c r="F150" s="47">
        <v>96</v>
      </c>
    </row>
    <row r="151" spans="1:6">
      <c r="A151" s="37">
        <f>常分成績!U12</f>
        <v>20190163</v>
      </c>
      <c r="B151" s="37">
        <f>常分成績!V12</f>
        <v>9</v>
      </c>
      <c r="C151" s="38" t="s">
        <v>302</v>
      </c>
      <c r="D151" s="37" t="str">
        <f>常分成績!W12</f>
        <v>施嘉鑫</v>
      </c>
      <c r="E151" s="37">
        <f>常分成績!X12</f>
        <v>95</v>
      </c>
      <c r="F151" s="47">
        <v>89</v>
      </c>
    </row>
    <row r="152" spans="1:6">
      <c r="A152" s="37">
        <f>常分成績!U13</f>
        <v>20190159</v>
      </c>
      <c r="B152" s="37">
        <f>常分成績!V13</f>
        <v>10</v>
      </c>
      <c r="C152" s="38" t="s">
        <v>302</v>
      </c>
      <c r="D152" s="37" t="str">
        <f>常分成績!W13</f>
        <v>范永淇</v>
      </c>
      <c r="E152" s="37">
        <f>常分成績!X13</f>
        <v>90</v>
      </c>
      <c r="F152" s="47">
        <v>88</v>
      </c>
    </row>
    <row r="153" spans="1:6">
      <c r="A153" s="37">
        <f>常分成績!U14</f>
        <v>20153106</v>
      </c>
      <c r="B153" s="37">
        <f>常分成績!V14</f>
        <v>11</v>
      </c>
      <c r="C153" s="38" t="s">
        <v>302</v>
      </c>
      <c r="D153" s="37" t="str">
        <f>常分成績!W14</f>
        <v>韋綺婷</v>
      </c>
      <c r="E153" s="37">
        <f>常分成績!X14</f>
        <v>93</v>
      </c>
      <c r="F153" s="47">
        <v>94</v>
      </c>
    </row>
    <row r="154" spans="1:6">
      <c r="A154" s="37">
        <f>常分成績!U15</f>
        <v>20220069</v>
      </c>
      <c r="B154" s="37">
        <f>常分成績!V15</f>
        <v>12</v>
      </c>
      <c r="C154" s="38" t="s">
        <v>302</v>
      </c>
      <c r="D154" s="37" t="str">
        <f>常分成績!W15</f>
        <v>孫芷軒</v>
      </c>
      <c r="E154" s="37">
        <f>常分成績!X15</f>
        <v>98</v>
      </c>
      <c r="F154" s="47">
        <v>92</v>
      </c>
    </row>
    <row r="155" spans="1:6">
      <c r="A155" s="37">
        <f>常分成績!U16</f>
        <v>20190097</v>
      </c>
      <c r="B155" s="37">
        <f>常分成績!V16</f>
        <v>13</v>
      </c>
      <c r="C155" s="38" t="s">
        <v>302</v>
      </c>
      <c r="D155" s="37" t="str">
        <f>常分成績!W16</f>
        <v>晏子洋</v>
      </c>
      <c r="E155" s="37">
        <f>常分成績!X16</f>
        <v>90</v>
      </c>
      <c r="F155" s="47">
        <v>91</v>
      </c>
    </row>
    <row r="156" spans="1:6">
      <c r="A156" s="37">
        <f>常分成績!U17</f>
        <v>20163083</v>
      </c>
      <c r="B156" s="37">
        <f>常分成績!V17</f>
        <v>14</v>
      </c>
      <c r="C156" s="38" t="s">
        <v>302</v>
      </c>
      <c r="D156" s="37" t="str">
        <f>常分成績!W17</f>
        <v>袁笙軒</v>
      </c>
      <c r="E156" s="37">
        <f>常分成績!X17</f>
        <v>92</v>
      </c>
      <c r="F156" s="47">
        <v>82</v>
      </c>
    </row>
    <row r="157" spans="1:6">
      <c r="A157" s="37">
        <f>常分成績!U18</f>
        <v>20220079</v>
      </c>
      <c r="B157" s="37">
        <f>常分成績!V18</f>
        <v>15</v>
      </c>
      <c r="C157" s="38" t="s">
        <v>302</v>
      </c>
      <c r="D157" s="37" t="str">
        <f>常分成績!W18</f>
        <v>符晶</v>
      </c>
      <c r="E157" s="37">
        <f>常分成績!X18</f>
        <v>92</v>
      </c>
      <c r="F157" s="47">
        <v>87</v>
      </c>
    </row>
    <row r="158" spans="1:6">
      <c r="A158" s="37">
        <f>常分成績!U19</f>
        <v>20190006</v>
      </c>
      <c r="B158" s="37">
        <f>常分成績!V19</f>
        <v>16</v>
      </c>
      <c r="C158" s="38" t="s">
        <v>302</v>
      </c>
      <c r="D158" s="37" t="str">
        <f>常分成績!W19</f>
        <v>陳靖榆</v>
      </c>
      <c r="E158" s="37">
        <f>常分成績!X19</f>
        <v>90</v>
      </c>
      <c r="F158" s="47">
        <v>89</v>
      </c>
    </row>
    <row r="159" spans="1:6">
      <c r="A159" s="37">
        <f>常分成績!U20</f>
        <v>20163058</v>
      </c>
      <c r="B159" s="37">
        <f>常分成績!V20</f>
        <v>17</v>
      </c>
      <c r="C159" s="38" t="s">
        <v>302</v>
      </c>
      <c r="D159" s="37" t="str">
        <f>常分成績!W20</f>
        <v>陸宏俊</v>
      </c>
      <c r="E159" s="37">
        <f>常分成績!X20</f>
        <v>88</v>
      </c>
      <c r="F159" s="47">
        <v>62</v>
      </c>
    </row>
    <row r="160" spans="1:6">
      <c r="A160" s="37">
        <f>常分成績!U21</f>
        <v>20102046</v>
      </c>
      <c r="B160" s="37">
        <f>常分成績!V21</f>
        <v>18</v>
      </c>
      <c r="C160" s="38" t="s">
        <v>302</v>
      </c>
      <c r="D160" s="37" t="str">
        <f>常分成績!W21</f>
        <v>麥靜遠</v>
      </c>
      <c r="E160" s="37">
        <f>常分成績!X21</f>
        <v>93</v>
      </c>
      <c r="F160" s="47">
        <v>96</v>
      </c>
    </row>
    <row r="161" spans="1:6">
      <c r="A161" s="37">
        <f>常分成績!U22</f>
        <v>20190104</v>
      </c>
      <c r="B161" s="37">
        <f>常分成績!V22</f>
        <v>19</v>
      </c>
      <c r="C161" s="38" t="s">
        <v>302</v>
      </c>
      <c r="D161" s="37" t="str">
        <f>常分成績!W22</f>
        <v>曾祥宇</v>
      </c>
      <c r="E161" s="37">
        <f>常分成績!X22</f>
        <v>92</v>
      </c>
      <c r="F161" s="47">
        <v>91</v>
      </c>
    </row>
    <row r="162" spans="1:6">
      <c r="A162" s="37">
        <f>常分成績!U23</f>
        <v>20200169</v>
      </c>
      <c r="B162" s="37">
        <f>常分成績!V23</f>
        <v>20</v>
      </c>
      <c r="C162" s="38" t="s">
        <v>302</v>
      </c>
      <c r="D162" s="37" t="str">
        <f>常分成績!W23</f>
        <v>曾嘉晴</v>
      </c>
      <c r="E162" s="37">
        <f>常分成績!X23</f>
        <v>92</v>
      </c>
      <c r="F162" s="47">
        <v>88</v>
      </c>
    </row>
    <row r="163" spans="1:6">
      <c r="A163" s="37">
        <f>常分成績!U24</f>
        <v>20170012</v>
      </c>
      <c r="B163" s="37">
        <f>常分成績!V24</f>
        <v>21</v>
      </c>
      <c r="C163" s="38" t="s">
        <v>302</v>
      </c>
      <c r="D163" s="37" t="str">
        <f>常分成績!W24</f>
        <v>黃琪煒</v>
      </c>
      <c r="E163" s="37">
        <f>常分成績!X24</f>
        <v>95</v>
      </c>
      <c r="F163" s="47">
        <v>79</v>
      </c>
    </row>
    <row r="164" spans="1:6">
      <c r="A164" s="37">
        <f>常分成績!U25</f>
        <v>20190017</v>
      </c>
      <c r="B164" s="37">
        <f>常分成績!V25</f>
        <v>22</v>
      </c>
      <c r="C164" s="38" t="s">
        <v>302</v>
      </c>
      <c r="D164" s="37" t="str">
        <f>常分成績!W25</f>
        <v>黃楚風</v>
      </c>
      <c r="E164" s="37">
        <f>常分成績!X25</f>
        <v>88</v>
      </c>
      <c r="F164" s="47">
        <v>84</v>
      </c>
    </row>
    <row r="165" spans="1:6">
      <c r="A165" s="37">
        <f>常分成績!U26</f>
        <v>20190096</v>
      </c>
      <c r="B165" s="37">
        <f>常分成績!V26</f>
        <v>23</v>
      </c>
      <c r="C165" s="38" t="s">
        <v>302</v>
      </c>
      <c r="D165" s="37" t="str">
        <f>常分成績!W26</f>
        <v>黃煜樺</v>
      </c>
      <c r="E165" s="37">
        <f>常分成績!X26</f>
        <v>90</v>
      </c>
      <c r="F165" s="47">
        <v>90</v>
      </c>
    </row>
    <row r="166" spans="1:6">
      <c r="A166" s="37">
        <f>常分成績!U27</f>
        <v>20163074</v>
      </c>
      <c r="B166" s="37">
        <f>常分成績!V27</f>
        <v>24</v>
      </c>
      <c r="C166" s="38" t="s">
        <v>302</v>
      </c>
      <c r="D166" s="37" t="str">
        <f>常分成績!W27</f>
        <v>寧晨</v>
      </c>
      <c r="E166" s="37">
        <f>常分成績!X27</f>
        <v>92</v>
      </c>
      <c r="F166" s="47">
        <v>92</v>
      </c>
    </row>
    <row r="167" spans="1:6">
      <c r="A167" s="37">
        <f>常分成績!U28</f>
        <v>20190034</v>
      </c>
      <c r="B167" s="37">
        <f>常分成績!V28</f>
        <v>25</v>
      </c>
      <c r="C167" s="38" t="s">
        <v>302</v>
      </c>
      <c r="D167" s="37" t="str">
        <f>常分成績!W28</f>
        <v>管錦桓</v>
      </c>
      <c r="E167" s="37">
        <f>常分成績!X28</f>
        <v>90</v>
      </c>
      <c r="F167" s="47">
        <v>82</v>
      </c>
    </row>
    <row r="168" spans="1:6">
      <c r="A168" s="37">
        <f>常分成績!U29</f>
        <v>20122136</v>
      </c>
      <c r="B168" s="37">
        <f>常分成績!V29</f>
        <v>26</v>
      </c>
      <c r="C168" s="38" t="s">
        <v>302</v>
      </c>
      <c r="D168" s="37" t="str">
        <f>常分成績!W29</f>
        <v>趙浚鎬</v>
      </c>
      <c r="E168" s="37">
        <f>常分成績!X29</f>
        <v>80</v>
      </c>
      <c r="F168" s="47">
        <v>74</v>
      </c>
    </row>
    <row r="169" spans="1:6">
      <c r="A169" s="37">
        <f>常分成績!U30</f>
        <v>20190093</v>
      </c>
      <c r="B169" s="37">
        <f>常分成績!V30</f>
        <v>27</v>
      </c>
      <c r="C169" s="38" t="s">
        <v>302</v>
      </c>
      <c r="D169" s="37" t="str">
        <f>常分成績!W30</f>
        <v>蔡嘉琪</v>
      </c>
      <c r="E169" s="37">
        <f>常分成績!X30</f>
        <v>98</v>
      </c>
      <c r="F169" s="47">
        <v>99</v>
      </c>
    </row>
    <row r="170" spans="1:6">
      <c r="A170" s="37">
        <f>常分成績!U31</f>
        <v>20220098</v>
      </c>
      <c r="B170" s="37">
        <f>常分成績!V31</f>
        <v>28</v>
      </c>
      <c r="C170" s="38" t="s">
        <v>302</v>
      </c>
      <c r="D170" s="37" t="str">
        <f>常分成績!W31</f>
        <v>鄧芷喬</v>
      </c>
      <c r="E170" s="37">
        <f>常分成績!X31</f>
        <v>93</v>
      </c>
      <c r="F170" s="47">
        <v>95</v>
      </c>
    </row>
    <row r="171" spans="1:6">
      <c r="A171" s="37">
        <f>常分成績!U32</f>
        <v>20190077</v>
      </c>
      <c r="B171" s="37">
        <f>常分成績!V32</f>
        <v>29</v>
      </c>
      <c r="C171" s="38" t="s">
        <v>302</v>
      </c>
      <c r="D171" s="37" t="str">
        <f>常分成績!W32</f>
        <v>鄭家雯</v>
      </c>
      <c r="E171" s="37">
        <f>常分成績!X32</f>
        <v>92</v>
      </c>
      <c r="F171" s="47">
        <v>93</v>
      </c>
    </row>
    <row r="172" spans="1:6">
      <c r="A172" s="37">
        <f>常分成績!U33</f>
        <v>20190031</v>
      </c>
      <c r="B172" s="37">
        <f>常分成績!V33</f>
        <v>30</v>
      </c>
      <c r="C172" s="38" t="s">
        <v>302</v>
      </c>
      <c r="D172" s="37" t="str">
        <f>常分成績!W33</f>
        <v>謝怡晴</v>
      </c>
      <c r="E172" s="37">
        <f>常分成績!X33</f>
        <v>98</v>
      </c>
      <c r="F172" s="47">
        <v>95</v>
      </c>
    </row>
    <row r="173" spans="1:6">
      <c r="A173" s="37">
        <f>常分成績!U34</f>
        <v>20102054</v>
      </c>
      <c r="B173" s="37">
        <f>常分成績!V34</f>
        <v>31</v>
      </c>
      <c r="C173" s="38" t="s">
        <v>302</v>
      </c>
      <c r="D173" s="37" t="str">
        <f>常分成績!W34</f>
        <v>譚靖曦</v>
      </c>
      <c r="E173" s="37">
        <f>常分成績!X34</f>
        <v>90</v>
      </c>
      <c r="F173" s="47">
        <v>90</v>
      </c>
    </row>
    <row r="174" spans="1:6">
      <c r="A174" s="37">
        <f>常分成績!U35</f>
        <v>20190202</v>
      </c>
      <c r="B174" s="37">
        <f>常分成績!V35</f>
        <v>32</v>
      </c>
      <c r="C174" s="38" t="s">
        <v>302</v>
      </c>
      <c r="D174" s="37" t="str">
        <f>常分成績!W35</f>
        <v>關焯盈</v>
      </c>
      <c r="E174" s="37">
        <f>常分成績!X35</f>
        <v>88</v>
      </c>
      <c r="F174" s="47">
        <v>93</v>
      </c>
    </row>
    <row r="175" spans="1:6">
      <c r="A175" s="37">
        <f>常分成績!U36</f>
        <v>20220067</v>
      </c>
      <c r="B175" s="37">
        <f>常分成績!V36</f>
        <v>33</v>
      </c>
      <c r="C175" s="38" t="s">
        <v>302</v>
      </c>
      <c r="D175" s="37" t="str">
        <f>常分成績!W36</f>
        <v>蘇梓謙</v>
      </c>
      <c r="E175" s="37">
        <f>常分成績!X36</f>
        <v>90</v>
      </c>
      <c r="F175" s="47">
        <v>90</v>
      </c>
    </row>
    <row r="176" spans="1:6">
      <c r="A176" s="33"/>
      <c r="B176" s="33"/>
    </row>
    <row r="177" spans="1:6">
      <c r="A177" s="37">
        <f>常分成績!Y4</f>
        <v>20190028</v>
      </c>
      <c r="B177" s="37">
        <f>常分成績!Z4</f>
        <v>1</v>
      </c>
      <c r="C177" s="38" t="s">
        <v>303</v>
      </c>
      <c r="D177" s="37" t="str">
        <f>常分成績!AA4</f>
        <v>王楚怡</v>
      </c>
      <c r="E177" s="37">
        <f>常分成績!AB4</f>
        <v>92</v>
      </c>
      <c r="F177" s="47">
        <v>68</v>
      </c>
    </row>
    <row r="178" spans="1:6">
      <c r="A178" s="37">
        <f>常分成績!Y5</f>
        <v>20122143</v>
      </c>
      <c r="B178" s="37">
        <f>常分成績!Z5</f>
        <v>2</v>
      </c>
      <c r="C178" s="38" t="s">
        <v>303</v>
      </c>
      <c r="D178" s="37" t="str">
        <f>常分成績!AA5</f>
        <v>叶浩釗</v>
      </c>
      <c r="E178" s="37">
        <f>常分成績!AB5</f>
        <v>92</v>
      </c>
      <c r="F178" s="47">
        <v>89</v>
      </c>
    </row>
    <row r="179" spans="1:6">
      <c r="A179" s="37">
        <f>常分成績!Y6</f>
        <v>20133052</v>
      </c>
      <c r="B179" s="37">
        <f>常分成績!Z6</f>
        <v>3</v>
      </c>
      <c r="C179" s="38" t="s">
        <v>303</v>
      </c>
      <c r="D179" s="37" t="str">
        <f>常分成績!AA6</f>
        <v>伍錦稀</v>
      </c>
      <c r="E179" s="37">
        <f>常分成績!AB6</f>
        <v>90</v>
      </c>
      <c r="F179" s="47">
        <v>84</v>
      </c>
    </row>
    <row r="180" spans="1:6">
      <c r="A180" s="37">
        <f>常分成績!Y7</f>
        <v>20102002</v>
      </c>
      <c r="B180" s="37">
        <f>常分成績!Z7</f>
        <v>4</v>
      </c>
      <c r="C180" s="38" t="s">
        <v>303</v>
      </c>
      <c r="D180" s="37" t="str">
        <f>常分成績!AA7</f>
        <v>朱詠錡</v>
      </c>
      <c r="E180" s="37">
        <f>常分成績!AB7</f>
        <v>93</v>
      </c>
      <c r="F180" s="47">
        <v>94</v>
      </c>
    </row>
    <row r="181" spans="1:6">
      <c r="A181" s="37">
        <f>常分成績!Y8</f>
        <v>20190236</v>
      </c>
      <c r="B181" s="37">
        <f>常分成績!Z8</f>
        <v>5</v>
      </c>
      <c r="C181" s="38" t="s">
        <v>303</v>
      </c>
      <c r="D181" s="37" t="str">
        <f>常分成績!AA8</f>
        <v>江庭瀚</v>
      </c>
      <c r="E181" s="37">
        <f>常分成績!AB8</f>
        <v>92</v>
      </c>
      <c r="F181" s="47">
        <v>83</v>
      </c>
    </row>
    <row r="182" spans="1:6">
      <c r="A182" s="37">
        <f>常分成績!Y9</f>
        <v>20163044</v>
      </c>
      <c r="B182" s="37">
        <f>常分成績!Z9</f>
        <v>6</v>
      </c>
      <c r="C182" s="38" t="s">
        <v>303</v>
      </c>
      <c r="D182" s="37" t="str">
        <f>常分成績!AA9</f>
        <v>何鎔熙</v>
      </c>
      <c r="E182" s="37">
        <f>常分成績!AB9</f>
        <v>90</v>
      </c>
      <c r="F182" s="47">
        <v>99</v>
      </c>
    </row>
    <row r="183" spans="1:6">
      <c r="A183" s="37">
        <f>常分成績!Y10</f>
        <v>20190213</v>
      </c>
      <c r="B183" s="37">
        <f>常分成績!Z10</f>
        <v>7</v>
      </c>
      <c r="C183" s="38" t="s">
        <v>303</v>
      </c>
      <c r="D183" s="37" t="str">
        <f>常分成績!AA10</f>
        <v>吳思婷</v>
      </c>
      <c r="E183" s="37">
        <f>常分成績!AB10</f>
        <v>90</v>
      </c>
      <c r="F183" s="47">
        <v>90</v>
      </c>
    </row>
    <row r="184" spans="1:6">
      <c r="A184" s="37">
        <f>常分成績!Y11</f>
        <v>20220228</v>
      </c>
      <c r="B184" s="37">
        <f>常分成績!Z11</f>
        <v>8</v>
      </c>
      <c r="C184" s="38" t="s">
        <v>303</v>
      </c>
      <c r="D184" s="37" t="str">
        <f>常分成績!AA11</f>
        <v>吳騏彤</v>
      </c>
      <c r="E184" s="37">
        <f>常分成績!AB11</f>
        <v>88</v>
      </c>
      <c r="F184" s="47">
        <v>97</v>
      </c>
    </row>
    <row r="185" spans="1:6">
      <c r="A185" s="37">
        <f>常分成績!Y12</f>
        <v>20173024</v>
      </c>
      <c r="B185" s="37">
        <f>常分成績!Z12</f>
        <v>9</v>
      </c>
      <c r="C185" s="38" t="s">
        <v>303</v>
      </c>
      <c r="D185" s="37" t="str">
        <f>常分成績!AA12</f>
        <v>李伊聖</v>
      </c>
      <c r="E185" s="37">
        <f>常分成績!AB12</f>
        <v>90</v>
      </c>
      <c r="F185" s="47">
        <v>88</v>
      </c>
    </row>
    <row r="186" spans="1:6">
      <c r="A186" s="37">
        <f>常分成績!Y13</f>
        <v>20102063</v>
      </c>
      <c r="B186" s="37">
        <f>常分成績!Z13</f>
        <v>10</v>
      </c>
      <c r="C186" s="38" t="s">
        <v>303</v>
      </c>
      <c r="D186" s="37" t="str">
        <f>常分成績!AA13</f>
        <v>施美言</v>
      </c>
      <c r="E186" s="37">
        <f>常分成績!AB13</f>
        <v>90</v>
      </c>
      <c r="F186" s="47">
        <v>66</v>
      </c>
    </row>
    <row r="187" spans="1:6">
      <c r="A187" s="37">
        <f>常分成績!Y14</f>
        <v>20102009</v>
      </c>
      <c r="B187" s="37">
        <f>常分成績!Z14</f>
        <v>11</v>
      </c>
      <c r="C187" s="38" t="s">
        <v>303</v>
      </c>
      <c r="D187" s="37" t="str">
        <f>常分成績!AA14</f>
        <v>韋采倩</v>
      </c>
      <c r="E187" s="37">
        <f>常分成績!AB14</f>
        <v>85</v>
      </c>
      <c r="F187" s="47">
        <v>77</v>
      </c>
    </row>
    <row r="188" spans="1:6">
      <c r="A188" s="37">
        <f>常分成績!Y15</f>
        <v>20230315</v>
      </c>
      <c r="B188" s="37">
        <f>常分成績!Z15</f>
        <v>12</v>
      </c>
      <c r="C188" s="38" t="s">
        <v>303</v>
      </c>
      <c r="D188" s="37" t="str">
        <f>常分成績!AA15</f>
        <v>夏清逸</v>
      </c>
      <c r="E188" s="37">
        <f>常分成績!AB15</f>
        <v>60</v>
      </c>
      <c r="F188" s="47">
        <v>84</v>
      </c>
    </row>
    <row r="189" spans="1:6">
      <c r="A189" s="37">
        <f>常分成績!Y16</f>
        <v>20190187</v>
      </c>
      <c r="B189" s="37">
        <f>常分成績!Z16</f>
        <v>13</v>
      </c>
      <c r="C189" s="38" t="s">
        <v>303</v>
      </c>
      <c r="D189" s="37" t="str">
        <f>常分成績!AA16</f>
        <v>马一龙</v>
      </c>
      <c r="E189" s="37">
        <f>常分成績!AB16</f>
        <v>88</v>
      </c>
      <c r="F189" s="47">
        <v>79</v>
      </c>
    </row>
    <row r="190" spans="1:6">
      <c r="A190" s="37">
        <f>常分成績!Y17</f>
        <v>20220065</v>
      </c>
      <c r="B190" s="37">
        <f>常分成績!Z17</f>
        <v>14</v>
      </c>
      <c r="C190" s="38" t="s">
        <v>303</v>
      </c>
      <c r="D190" s="37" t="str">
        <f>常分成績!AA17</f>
        <v>馬曉晴</v>
      </c>
      <c r="E190" s="37">
        <f>常分成績!AB17</f>
        <v>90</v>
      </c>
      <c r="F190" s="47">
        <v>90</v>
      </c>
    </row>
    <row r="191" spans="1:6">
      <c r="A191" s="37">
        <f>常分成績!Y18</f>
        <v>20180127</v>
      </c>
      <c r="B191" s="37">
        <f>常分成績!Z18</f>
        <v>15</v>
      </c>
      <c r="C191" s="38" t="s">
        <v>303</v>
      </c>
      <c r="D191" s="37" t="str">
        <f>常分成績!AA18</f>
        <v>梁球寶</v>
      </c>
      <c r="E191" s="37">
        <f>常分成績!AB18</f>
        <v>90</v>
      </c>
      <c r="F191" s="47">
        <v>66</v>
      </c>
    </row>
    <row r="192" spans="1:6">
      <c r="A192" s="37">
        <f>常分成績!Y19</f>
        <v>20102041</v>
      </c>
      <c r="B192" s="37">
        <f>常分成績!Z19</f>
        <v>16</v>
      </c>
      <c r="C192" s="38" t="s">
        <v>303</v>
      </c>
      <c r="D192" s="37" t="str">
        <f>常分成績!AA19</f>
        <v>梅綺婷</v>
      </c>
      <c r="E192" s="37">
        <f>常分成績!AB19</f>
        <v>92</v>
      </c>
      <c r="F192" s="47">
        <v>79</v>
      </c>
    </row>
    <row r="193" spans="1:6">
      <c r="A193" s="37">
        <f>常分成績!Y20</f>
        <v>20133029</v>
      </c>
      <c r="B193" s="37">
        <f>常分成績!Z20</f>
        <v>17</v>
      </c>
      <c r="C193" s="38" t="s">
        <v>303</v>
      </c>
      <c r="D193" s="37" t="str">
        <f>常分成績!AA20</f>
        <v>畢禧添</v>
      </c>
      <c r="E193" s="37">
        <f>常分成績!AB20</f>
        <v>87</v>
      </c>
      <c r="F193" s="47">
        <v>93</v>
      </c>
    </row>
    <row r="194" spans="1:6">
      <c r="A194" s="37">
        <f>常分成績!Y21</f>
        <v>20220170</v>
      </c>
      <c r="B194" s="37">
        <f>常分成績!Z21</f>
        <v>18</v>
      </c>
      <c r="C194" s="38" t="s">
        <v>303</v>
      </c>
      <c r="D194" s="37" t="str">
        <f>常分成績!AA21</f>
        <v>許佳瑩</v>
      </c>
      <c r="E194" s="37">
        <f>常分成績!AB21</f>
        <v>90</v>
      </c>
      <c r="F194" s="47">
        <v>90</v>
      </c>
    </row>
    <row r="195" spans="1:6">
      <c r="A195" s="37">
        <f>常分成績!Y22</f>
        <v>20190030</v>
      </c>
      <c r="B195" s="37">
        <f>常分成績!Z22</f>
        <v>19</v>
      </c>
      <c r="C195" s="38" t="s">
        <v>303</v>
      </c>
      <c r="D195" s="37" t="str">
        <f>常分成績!AA22</f>
        <v>陳子悅</v>
      </c>
      <c r="E195" s="37">
        <f>常分成績!AB22</f>
        <v>92</v>
      </c>
      <c r="F195" s="47">
        <v>93</v>
      </c>
    </row>
    <row r="196" spans="1:6">
      <c r="A196" s="37">
        <f>常分成績!Y23</f>
        <v>20143105</v>
      </c>
      <c r="B196" s="37">
        <f>常分成績!Z23</f>
        <v>20</v>
      </c>
      <c r="C196" s="38" t="s">
        <v>303</v>
      </c>
      <c r="D196" s="37" t="str">
        <f>常分成績!AA23</f>
        <v>陳浩澤</v>
      </c>
      <c r="E196" s="37">
        <f>常分成績!AB23</f>
        <v>92</v>
      </c>
      <c r="F196" s="47">
        <v>93</v>
      </c>
    </row>
    <row r="197" spans="1:6">
      <c r="A197" s="37">
        <f>常分成績!Y24</f>
        <v>20220056</v>
      </c>
      <c r="B197" s="37">
        <f>常分成績!Z24</f>
        <v>21</v>
      </c>
      <c r="C197" s="38" t="s">
        <v>303</v>
      </c>
      <c r="D197" s="37" t="str">
        <f>常分成績!AA24</f>
        <v>湛心怡</v>
      </c>
      <c r="E197" s="37">
        <f>常分成績!AB24</f>
        <v>90</v>
      </c>
      <c r="F197" s="47">
        <v>87</v>
      </c>
    </row>
    <row r="198" spans="1:6">
      <c r="A198" s="37">
        <f>常分成績!Y25</f>
        <v>20153058</v>
      </c>
      <c r="B198" s="37">
        <f>常分成績!Z25</f>
        <v>22</v>
      </c>
      <c r="C198" s="38" t="s">
        <v>303</v>
      </c>
      <c r="D198" s="37" t="str">
        <f>常分成績!AA25</f>
        <v>黃心言</v>
      </c>
      <c r="E198" s="37">
        <f>常分成績!AB25</f>
        <v>93</v>
      </c>
      <c r="F198" s="47">
        <v>92</v>
      </c>
    </row>
    <row r="199" spans="1:6">
      <c r="A199" s="37">
        <f>常分成績!Y26</f>
        <v>20190206</v>
      </c>
      <c r="B199" s="37">
        <f>常分成績!Z26</f>
        <v>23</v>
      </c>
      <c r="C199" s="38" t="s">
        <v>303</v>
      </c>
      <c r="D199" s="37" t="str">
        <f>常分成績!AA26</f>
        <v>黃俊美</v>
      </c>
      <c r="E199" s="37">
        <f>常分成績!AB26</f>
        <v>90</v>
      </c>
      <c r="F199" s="47">
        <v>91</v>
      </c>
    </row>
    <row r="200" spans="1:6">
      <c r="A200" s="37">
        <f>常分成績!Y27</f>
        <v>20210195</v>
      </c>
      <c r="B200" s="37">
        <f>常分成績!Z27</f>
        <v>24</v>
      </c>
      <c r="C200" s="38" t="s">
        <v>303</v>
      </c>
      <c r="D200" s="37" t="str">
        <f>常分成績!AA27</f>
        <v>蔡佳宜</v>
      </c>
      <c r="E200" s="37">
        <f>常分成績!AB27</f>
        <v>87</v>
      </c>
      <c r="F200" s="47">
        <v>86</v>
      </c>
    </row>
    <row r="201" spans="1:6">
      <c r="A201" s="37">
        <f>常分成績!Y28</f>
        <v>20123048</v>
      </c>
      <c r="B201" s="37">
        <f>常分成績!Z28</f>
        <v>25</v>
      </c>
      <c r="C201" s="38" t="s">
        <v>303</v>
      </c>
      <c r="D201" s="37" t="str">
        <f>常分成績!AA28</f>
        <v>蔣顏琪</v>
      </c>
      <c r="E201" s="37">
        <f>常分成績!AB28</f>
        <v>88</v>
      </c>
      <c r="F201" s="47">
        <v>74</v>
      </c>
    </row>
    <row r="202" spans="1:6">
      <c r="A202" s="37">
        <f>常分成績!Y29</f>
        <v>20180027</v>
      </c>
      <c r="B202" s="37">
        <f>常分成績!Z29</f>
        <v>26</v>
      </c>
      <c r="C202" s="38" t="s">
        <v>303</v>
      </c>
      <c r="D202" s="37" t="str">
        <f>常分成績!AA29</f>
        <v>鄭佳鴻</v>
      </c>
      <c r="E202" s="37">
        <f>常分成績!AB29</f>
        <v>90</v>
      </c>
      <c r="F202" s="47">
        <v>74</v>
      </c>
    </row>
    <row r="203" spans="1:6">
      <c r="A203" s="37">
        <f>常分成績!Y30</f>
        <v>20190215</v>
      </c>
      <c r="B203" s="37">
        <f>常分成績!Z30</f>
        <v>27</v>
      </c>
      <c r="C203" s="38" t="s">
        <v>303</v>
      </c>
      <c r="D203" s="37" t="str">
        <f>常分成績!AA30</f>
        <v>黎可盈</v>
      </c>
      <c r="E203" s="37">
        <f>常分成績!AB30</f>
        <v>90</v>
      </c>
      <c r="F203" s="47">
        <v>84</v>
      </c>
    </row>
    <row r="204" spans="1:6">
      <c r="A204" s="37">
        <f>常分成績!Y31</f>
        <v>20220151</v>
      </c>
      <c r="B204" s="37">
        <f>常分成績!Z31</f>
        <v>28</v>
      </c>
      <c r="C204" s="38" t="s">
        <v>303</v>
      </c>
      <c r="D204" s="37" t="str">
        <f>常分成績!AA31</f>
        <v>羅政軒</v>
      </c>
      <c r="E204" s="37">
        <f>常分成績!AB31</f>
        <v>87</v>
      </c>
      <c r="F204" s="47">
        <v>97</v>
      </c>
    </row>
    <row r="205" spans="1:6">
      <c r="A205" s="37">
        <f>常分成績!Y32</f>
        <v>20190002</v>
      </c>
      <c r="B205" s="37">
        <f>常分成績!Z32</f>
        <v>29</v>
      </c>
      <c r="C205" s="38" t="s">
        <v>303</v>
      </c>
      <c r="D205" s="37" t="str">
        <f>常分成績!AA32</f>
        <v>譚幸瑜</v>
      </c>
      <c r="E205" s="37">
        <f>常分成績!AB32</f>
        <v>88</v>
      </c>
      <c r="F205" s="47">
        <v>75</v>
      </c>
    </row>
    <row r="206" spans="1:6">
      <c r="A206" s="37">
        <f>常分成績!Y33</f>
        <v>20102079</v>
      </c>
      <c r="B206" s="37">
        <f>常分成績!Z33</f>
        <v>30</v>
      </c>
      <c r="C206" s="38" t="s">
        <v>303</v>
      </c>
      <c r="D206" s="37" t="str">
        <f>常分成績!AA33</f>
        <v>譚俊杰</v>
      </c>
      <c r="E206" s="37">
        <f>常分成績!AB33</f>
        <v>92</v>
      </c>
      <c r="F206" s="47">
        <v>80</v>
      </c>
    </row>
    <row r="207" spans="1:6">
      <c r="A207" s="37">
        <f>常分成績!Y34</f>
        <v>20143082</v>
      </c>
      <c r="B207" s="37">
        <f>常分成績!Z34</f>
        <v>31</v>
      </c>
      <c r="C207" s="38" t="s">
        <v>303</v>
      </c>
      <c r="D207" s="37" t="str">
        <f>常分成績!AA34</f>
        <v>譚靖筠</v>
      </c>
      <c r="E207" s="37">
        <f>常分成績!AB34</f>
        <v>90</v>
      </c>
      <c r="F207" s="47">
        <v>90</v>
      </c>
    </row>
    <row r="208" spans="1:6">
      <c r="A208" s="37">
        <f>常分成績!Y35</f>
        <v>20102055</v>
      </c>
      <c r="B208" s="37">
        <f>常分成績!Z35</f>
        <v>32</v>
      </c>
      <c r="C208" s="38" t="s">
        <v>303</v>
      </c>
      <c r="D208" s="37" t="str">
        <f>常分成績!AA35</f>
        <v>關智軒</v>
      </c>
      <c r="E208" s="37">
        <f>常分成績!AB35</f>
        <v>90</v>
      </c>
      <c r="F208" s="47">
        <v>96</v>
      </c>
    </row>
    <row r="209" spans="1:6">
      <c r="A209" s="37">
        <f>常分成績!Y36</f>
        <v>20200213</v>
      </c>
      <c r="B209" s="37">
        <f>常分成績!Z36</f>
        <v>33</v>
      </c>
      <c r="C209" s="38" t="s">
        <v>303</v>
      </c>
      <c r="D209" s="37" t="str">
        <f>常分成績!AA36</f>
        <v>龐軼文</v>
      </c>
      <c r="E209" s="37">
        <f>常分成績!AB36</f>
        <v>93</v>
      </c>
      <c r="F209" s="47">
        <v>97</v>
      </c>
    </row>
    <row r="210" spans="1:6">
      <c r="A210" s="37">
        <f>常分成績!Y37</f>
        <v>20180070</v>
      </c>
      <c r="B210" s="37">
        <f>常分成績!Z37</f>
        <v>34</v>
      </c>
      <c r="C210" s="38" t="s">
        <v>303</v>
      </c>
      <c r="D210" s="37" t="str">
        <f>常分成績!AA37</f>
        <v>歐陽敏怡</v>
      </c>
      <c r="E210" s="37">
        <f>常分成績!AB37</f>
        <v>88</v>
      </c>
      <c r="F210" s="47">
        <v>87</v>
      </c>
    </row>
    <row r="211" spans="1:6">
      <c r="A211" s="33"/>
      <c r="B211" s="33"/>
    </row>
    <row r="212" spans="1:6">
      <c r="A212" s="37">
        <f>常分成績!AC4</f>
        <v>20220088</v>
      </c>
      <c r="B212" s="37">
        <f>常分成績!AD4</f>
        <v>1</v>
      </c>
      <c r="C212" s="38" t="s">
        <v>304</v>
      </c>
      <c r="D212" s="37" t="str">
        <f>常分成績!AE4</f>
        <v>王語</v>
      </c>
      <c r="E212" s="37">
        <f>常分成績!AF4</f>
        <v>92</v>
      </c>
      <c r="F212" s="47">
        <v>91</v>
      </c>
    </row>
    <row r="213" spans="1:6">
      <c r="A213" s="37">
        <f>常分成績!AC5</f>
        <v>20190046</v>
      </c>
      <c r="B213" s="37">
        <f>常分成績!AD5</f>
        <v>2</v>
      </c>
      <c r="C213" s="38" t="s">
        <v>304</v>
      </c>
      <c r="D213" s="37" t="str">
        <f>常分成績!AE5</f>
        <v>吳詠欣</v>
      </c>
      <c r="E213" s="37">
        <f>常分成績!AF5</f>
        <v>92</v>
      </c>
      <c r="F213" s="47">
        <v>96</v>
      </c>
    </row>
    <row r="214" spans="1:6">
      <c r="A214" s="37">
        <f>常分成績!AC6</f>
        <v>20220164</v>
      </c>
      <c r="B214" s="37">
        <f>常分成績!AD6</f>
        <v>3</v>
      </c>
      <c r="C214" s="38" t="s">
        <v>304</v>
      </c>
      <c r="D214" s="37" t="str">
        <f>常分成績!AE6</f>
        <v>吳曉寧</v>
      </c>
      <c r="E214" s="37">
        <f>常分成績!AF6</f>
        <v>93</v>
      </c>
      <c r="F214" s="47">
        <v>96</v>
      </c>
    </row>
    <row r="215" spans="1:6">
      <c r="A215" s="37">
        <f>常分成績!AC7</f>
        <v>20180063</v>
      </c>
      <c r="B215" s="37">
        <f>常分成績!AD7</f>
        <v>4</v>
      </c>
      <c r="C215" s="38" t="s">
        <v>304</v>
      </c>
      <c r="D215" s="37" t="str">
        <f>常分成績!AE7</f>
        <v>呂善怡</v>
      </c>
      <c r="E215" s="37">
        <f>常分成績!AF7</f>
        <v>92</v>
      </c>
      <c r="F215" s="47">
        <v>65</v>
      </c>
    </row>
    <row r="216" spans="1:6">
      <c r="A216" s="37">
        <f>常分成績!AC8</f>
        <v>20220225</v>
      </c>
      <c r="B216" s="37">
        <f>常分成績!AD8</f>
        <v>5</v>
      </c>
      <c r="C216" s="38" t="s">
        <v>304</v>
      </c>
      <c r="D216" s="37" t="str">
        <f>常分成績!AE8</f>
        <v>李方萌</v>
      </c>
      <c r="E216" s="37">
        <f>常分成績!AF8</f>
        <v>93</v>
      </c>
      <c r="F216" s="47">
        <v>86</v>
      </c>
    </row>
    <row r="217" spans="1:6">
      <c r="A217" s="37">
        <f>常分成績!AC9</f>
        <v>20220059</v>
      </c>
      <c r="B217" s="37">
        <f>常分成績!AD9</f>
        <v>6</v>
      </c>
      <c r="C217" s="38" t="s">
        <v>304</v>
      </c>
      <c r="D217" s="37" t="str">
        <f>常分成績!AE9</f>
        <v>李宛霖</v>
      </c>
      <c r="E217" s="37">
        <f>常分成績!AF9</f>
        <v>92</v>
      </c>
      <c r="F217" s="47">
        <v>88</v>
      </c>
    </row>
    <row r="218" spans="1:6">
      <c r="A218" s="37">
        <f>常分成績!AC10</f>
        <v>20143015</v>
      </c>
      <c r="B218" s="37">
        <f>常分成績!AD10</f>
        <v>7</v>
      </c>
      <c r="C218" s="38" t="s">
        <v>304</v>
      </c>
      <c r="D218" s="37" t="str">
        <f>常分成績!AE10</f>
        <v>李楚潼</v>
      </c>
      <c r="E218" s="37">
        <f>常分成績!AF10</f>
        <v>92</v>
      </c>
      <c r="F218" s="47">
        <v>90</v>
      </c>
    </row>
    <row r="219" spans="1:6">
      <c r="A219" s="37">
        <f>常分成績!AC11</f>
        <v>20220166</v>
      </c>
      <c r="B219" s="37">
        <f>常分成績!AD11</f>
        <v>8</v>
      </c>
      <c r="C219" s="38" t="s">
        <v>304</v>
      </c>
      <c r="D219" s="37" t="str">
        <f>常分成績!AE11</f>
        <v>林心悅</v>
      </c>
      <c r="E219" s="37">
        <f>常分成績!AF11</f>
        <v>90</v>
      </c>
      <c r="F219" s="47">
        <v>85</v>
      </c>
    </row>
    <row r="220" spans="1:6">
      <c r="A220" s="37">
        <f>常分成績!AC12</f>
        <v>20210160</v>
      </c>
      <c r="B220" s="37">
        <f>常分成績!AD12</f>
        <v>9</v>
      </c>
      <c r="C220" s="38" t="s">
        <v>304</v>
      </c>
      <c r="D220" s="37" t="str">
        <f>常分成績!AE12</f>
        <v>林志洵</v>
      </c>
      <c r="E220" s="37">
        <f>常分成績!AF12</f>
        <v>92</v>
      </c>
      <c r="F220" s="47">
        <v>94</v>
      </c>
    </row>
    <row r="221" spans="1:6">
      <c r="A221" s="37">
        <f>常分成績!AC13</f>
        <v>20163052</v>
      </c>
      <c r="B221" s="37">
        <f>常分成績!AD13</f>
        <v>10</v>
      </c>
      <c r="C221" s="38" t="s">
        <v>304</v>
      </c>
      <c r="D221" s="37" t="str">
        <f>常分成績!AE13</f>
        <v>高柏研</v>
      </c>
      <c r="E221" s="37">
        <f>常分成績!AF13</f>
        <v>90</v>
      </c>
      <c r="F221" s="47">
        <v>81</v>
      </c>
    </row>
    <row r="222" spans="1:6">
      <c r="A222" s="37">
        <f>常分成績!AC14</f>
        <v>20210119</v>
      </c>
      <c r="B222" s="37">
        <f>常分成績!AD14</f>
        <v>11</v>
      </c>
      <c r="C222" s="38" t="s">
        <v>304</v>
      </c>
      <c r="D222" s="37" t="str">
        <f>常分成績!AE14</f>
        <v>區愷迎</v>
      </c>
      <c r="E222" s="37">
        <f>常分成績!AF14</f>
        <v>93</v>
      </c>
      <c r="F222" s="47">
        <v>84</v>
      </c>
    </row>
    <row r="223" spans="1:6">
      <c r="A223" s="37">
        <f>常分成績!AC15</f>
        <v>20180080</v>
      </c>
      <c r="B223" s="37">
        <f>常分成績!AD15</f>
        <v>12</v>
      </c>
      <c r="C223" s="38" t="s">
        <v>304</v>
      </c>
      <c r="D223" s="37" t="str">
        <f>常分成績!AE15</f>
        <v>崔婉瑩</v>
      </c>
      <c r="E223" s="37">
        <f>常分成績!AF15</f>
        <v>90</v>
      </c>
      <c r="F223" s="47">
        <v>76</v>
      </c>
    </row>
    <row r="224" spans="1:6">
      <c r="A224" s="37">
        <f>常分成績!AC16</f>
        <v>20173036</v>
      </c>
      <c r="B224" s="37">
        <f>常分成績!AD16</f>
        <v>13</v>
      </c>
      <c r="C224" s="38" t="s">
        <v>304</v>
      </c>
      <c r="D224" s="37" t="str">
        <f>常分成績!AE16</f>
        <v>巢鎮鎬</v>
      </c>
      <c r="E224" s="37">
        <f>常分成績!AF16</f>
        <v>92</v>
      </c>
      <c r="F224" s="47">
        <v>84</v>
      </c>
    </row>
    <row r="225" spans="1:6">
      <c r="A225" s="37">
        <f>常分成績!AC17</f>
        <v>20133018</v>
      </c>
      <c r="B225" s="37">
        <f>常分成績!AD17</f>
        <v>14</v>
      </c>
      <c r="C225" s="38" t="s">
        <v>304</v>
      </c>
      <c r="D225" s="37" t="str">
        <f>常分成績!AE17</f>
        <v>張正鋒</v>
      </c>
      <c r="E225" s="37">
        <f>常分成績!AF17</f>
        <v>92</v>
      </c>
      <c r="F225" s="47">
        <v>87</v>
      </c>
    </row>
    <row r="226" spans="1:6">
      <c r="A226" s="37">
        <f>常分成績!AC18</f>
        <v>20220172</v>
      </c>
      <c r="B226" s="37">
        <f>常分成績!AD18</f>
        <v>15</v>
      </c>
      <c r="C226" s="38" t="s">
        <v>304</v>
      </c>
      <c r="D226" s="37" t="str">
        <f>常分成績!AE18</f>
        <v>張誠睿</v>
      </c>
      <c r="E226" s="37">
        <f>常分成績!AF18</f>
        <v>90</v>
      </c>
      <c r="F226" s="47">
        <v>85</v>
      </c>
    </row>
    <row r="227" spans="1:6">
      <c r="A227" s="37">
        <f>常分成績!AC19</f>
        <v>20190040</v>
      </c>
      <c r="B227" s="37">
        <f>常分成績!AD19</f>
        <v>16</v>
      </c>
      <c r="C227" s="38" t="s">
        <v>304</v>
      </c>
      <c r="D227" s="37" t="str">
        <f>常分成績!AE19</f>
        <v>張燕姿</v>
      </c>
      <c r="E227" s="37">
        <f>常分成績!AF19</f>
        <v>90</v>
      </c>
      <c r="F227" s="47">
        <v>88</v>
      </c>
    </row>
    <row r="228" spans="1:6">
      <c r="A228" s="37">
        <f>常分成績!AC20</f>
        <v>20102038</v>
      </c>
      <c r="B228" s="37">
        <f>常分成績!AD20</f>
        <v>17</v>
      </c>
      <c r="C228" s="38" t="s">
        <v>304</v>
      </c>
      <c r="D228" s="37" t="str">
        <f>常分成績!AE20</f>
        <v>梁宇斯</v>
      </c>
      <c r="E228" s="37">
        <f>常分成績!AF20</f>
        <v>90</v>
      </c>
      <c r="F228" s="47">
        <v>61</v>
      </c>
    </row>
    <row r="229" spans="1:6">
      <c r="A229" s="37">
        <f>常分成績!AC21</f>
        <v>20163041</v>
      </c>
      <c r="B229" s="37">
        <f>常分成績!AD21</f>
        <v>18</v>
      </c>
      <c r="C229" s="38" t="s">
        <v>304</v>
      </c>
      <c r="D229" s="37" t="str">
        <f>常分成績!AE21</f>
        <v>梁梓豪</v>
      </c>
      <c r="E229" s="37">
        <f>常分成績!AF21</f>
        <v>90</v>
      </c>
      <c r="F229" s="47">
        <v>83</v>
      </c>
    </row>
    <row r="230" spans="1:6">
      <c r="A230" s="37">
        <f>常分成績!AC22</f>
        <v>20102040</v>
      </c>
      <c r="B230" s="37">
        <f>常分成績!AD22</f>
        <v>19</v>
      </c>
      <c r="C230" s="38" t="s">
        <v>304</v>
      </c>
      <c r="D230" s="37" t="str">
        <f>常分成績!AE22</f>
        <v>梁碧怡</v>
      </c>
      <c r="E230" s="37">
        <f>常分成績!AF22</f>
        <v>93</v>
      </c>
      <c r="F230" s="47">
        <v>96</v>
      </c>
    </row>
    <row r="231" spans="1:6">
      <c r="A231" s="37">
        <f>常分成績!AC23</f>
        <v>20123047</v>
      </c>
      <c r="B231" s="37">
        <f>常分成績!AD23</f>
        <v>20</v>
      </c>
      <c r="C231" s="38" t="s">
        <v>304</v>
      </c>
      <c r="D231" s="37" t="str">
        <f>常分成績!AE23</f>
        <v>郭倩玟</v>
      </c>
      <c r="E231" s="37">
        <f>常分成績!AF23</f>
        <v>90</v>
      </c>
      <c r="F231" s="47">
        <v>75</v>
      </c>
    </row>
    <row r="232" spans="1:6">
      <c r="A232" s="37">
        <f>常分成績!AC24</f>
        <v>20143085</v>
      </c>
      <c r="B232" s="37">
        <f>常分成績!AD24</f>
        <v>21</v>
      </c>
      <c r="C232" s="38" t="s">
        <v>304</v>
      </c>
      <c r="D232" s="37" t="str">
        <f>常分成績!AE24</f>
        <v>陳文皓</v>
      </c>
      <c r="E232" s="37">
        <f>常分成績!AF24</f>
        <v>90</v>
      </c>
      <c r="F232" s="47">
        <v>86</v>
      </c>
    </row>
    <row r="233" spans="1:6">
      <c r="A233" s="37">
        <f>常分成績!AC25</f>
        <v>20230215</v>
      </c>
      <c r="B233" s="37">
        <f>常分成績!AD25</f>
        <v>22</v>
      </c>
      <c r="C233" s="38" t="s">
        <v>304</v>
      </c>
      <c r="D233" s="37" t="str">
        <f>常分成績!AE25</f>
        <v>陳彥希</v>
      </c>
      <c r="E233" s="37">
        <f>常分成績!AF25</f>
        <v>90</v>
      </c>
      <c r="F233" s="47">
        <v>90</v>
      </c>
    </row>
    <row r="234" spans="1:6">
      <c r="A234" s="37">
        <f>常分成績!AC26</f>
        <v>20190102</v>
      </c>
      <c r="B234" s="37">
        <f>常分成績!AD26</f>
        <v>23</v>
      </c>
      <c r="C234" s="38" t="s">
        <v>304</v>
      </c>
      <c r="D234" s="37" t="str">
        <f>常分成績!AE26</f>
        <v>陳梓琳</v>
      </c>
      <c r="E234" s="37">
        <f>常分成績!AF26</f>
        <v>92</v>
      </c>
      <c r="F234" s="47">
        <v>90</v>
      </c>
    </row>
    <row r="235" spans="1:6">
      <c r="A235" s="37">
        <f>常分成績!AC27</f>
        <v>20190051</v>
      </c>
      <c r="B235" s="37">
        <f>常分成績!AD27</f>
        <v>24</v>
      </c>
      <c r="C235" s="38" t="s">
        <v>304</v>
      </c>
      <c r="D235" s="37" t="str">
        <f>常分成績!AE27</f>
        <v>陳順濤</v>
      </c>
      <c r="E235" s="37">
        <f>常分成績!AF27</f>
        <v>92</v>
      </c>
      <c r="F235" s="47">
        <v>70</v>
      </c>
    </row>
    <row r="236" spans="1:6">
      <c r="A236" s="37">
        <f>常分成績!AC28</f>
        <v>20102071</v>
      </c>
      <c r="B236" s="37">
        <f>常分成績!AD28</f>
        <v>25</v>
      </c>
      <c r="C236" s="38" t="s">
        <v>304</v>
      </c>
      <c r="D236" s="37" t="str">
        <f>常分成績!AE28</f>
        <v>馮梓浩</v>
      </c>
      <c r="E236" s="37">
        <f>常分成績!AF28</f>
        <v>0</v>
      </c>
      <c r="F236" s="47">
        <v>0</v>
      </c>
    </row>
    <row r="237" spans="1:6">
      <c r="A237" s="37">
        <f>常分成績!AC29</f>
        <v>20190027</v>
      </c>
      <c r="B237" s="37">
        <f>常分成績!AD29</f>
        <v>26</v>
      </c>
      <c r="C237" s="38" t="s">
        <v>304</v>
      </c>
      <c r="D237" s="37" t="str">
        <f>常分成績!AE29</f>
        <v>黃曼茜</v>
      </c>
      <c r="E237" s="37">
        <f>常分成績!AF29</f>
        <v>92</v>
      </c>
      <c r="F237" s="47">
        <v>79</v>
      </c>
    </row>
    <row r="238" spans="1:6">
      <c r="A238" s="37">
        <f>常分成績!AC30</f>
        <v>20133019</v>
      </c>
      <c r="B238" s="37">
        <f>常分成績!AD30</f>
        <v>27</v>
      </c>
      <c r="C238" s="38" t="s">
        <v>304</v>
      </c>
      <c r="D238" s="37" t="str">
        <f>常分成績!AE30</f>
        <v>黃淑茵</v>
      </c>
      <c r="E238" s="37">
        <f>常分成績!AF30</f>
        <v>93</v>
      </c>
      <c r="F238" s="47">
        <v>90</v>
      </c>
    </row>
    <row r="239" spans="1:6">
      <c r="A239" s="37">
        <f>常分成績!AC31</f>
        <v>20190039</v>
      </c>
      <c r="B239" s="37">
        <f>常分成績!AD31</f>
        <v>28</v>
      </c>
      <c r="C239" s="38" t="s">
        <v>304</v>
      </c>
      <c r="D239" s="37" t="str">
        <f>常分成績!AE31</f>
        <v>黃清森</v>
      </c>
      <c r="E239" s="37">
        <f>常分成績!AF31</f>
        <v>92</v>
      </c>
      <c r="F239" s="47">
        <v>91</v>
      </c>
    </row>
    <row r="240" spans="1:6">
      <c r="A240" s="37">
        <f>常分成績!AC32</f>
        <v>20210268</v>
      </c>
      <c r="B240" s="37">
        <f>常分成績!AD32</f>
        <v>29</v>
      </c>
      <c r="C240" s="38" t="s">
        <v>304</v>
      </c>
      <c r="D240" s="37" t="str">
        <f>常分成績!AE32</f>
        <v>黃嘉銘</v>
      </c>
      <c r="E240" s="37">
        <f>常分成績!AF32</f>
        <v>92</v>
      </c>
      <c r="F240" s="47">
        <v>89</v>
      </c>
    </row>
    <row r="241" spans="1:6">
      <c r="A241" s="37">
        <f>常分成績!AC33</f>
        <v>20133025</v>
      </c>
      <c r="B241" s="37">
        <f>常分成績!AD33</f>
        <v>30</v>
      </c>
      <c r="C241" s="38" t="s">
        <v>304</v>
      </c>
      <c r="D241" s="37" t="str">
        <f>常分成績!AE33</f>
        <v>黃曉晴</v>
      </c>
      <c r="E241" s="37">
        <f>常分成績!AF33</f>
        <v>90</v>
      </c>
      <c r="F241" s="47">
        <v>81</v>
      </c>
    </row>
    <row r="242" spans="1:6">
      <c r="A242" s="37">
        <f>常分成績!AC34</f>
        <v>20210183</v>
      </c>
      <c r="B242" s="37">
        <f>常分成績!AD34</f>
        <v>31</v>
      </c>
      <c r="C242" s="38" t="s">
        <v>304</v>
      </c>
      <c r="D242" s="37" t="str">
        <f>常分成績!AE34</f>
        <v>潘偉汶</v>
      </c>
      <c r="E242" s="37">
        <f>常分成績!AF34</f>
        <v>92</v>
      </c>
      <c r="F242" s="47">
        <v>69</v>
      </c>
    </row>
    <row r="243" spans="1:6">
      <c r="A243" s="37">
        <f>常分成績!AC35</f>
        <v>20153057</v>
      </c>
      <c r="B243" s="37">
        <f>常分成績!AD35</f>
        <v>32</v>
      </c>
      <c r="C243" s="38" t="s">
        <v>304</v>
      </c>
      <c r="D243" s="37" t="str">
        <f>常分成績!AE35</f>
        <v>黎毅莎</v>
      </c>
      <c r="E243" s="37">
        <f>常分成績!AF35</f>
        <v>92</v>
      </c>
      <c r="F243" s="47">
        <v>87</v>
      </c>
    </row>
    <row r="244" spans="1:6">
      <c r="A244" s="37">
        <f>常分成績!AC36</f>
        <v>20190045</v>
      </c>
      <c r="B244" s="37">
        <f>常分成績!AD36</f>
        <v>33</v>
      </c>
      <c r="C244" s="38" t="s">
        <v>304</v>
      </c>
      <c r="D244" s="37" t="str">
        <f>常分成績!AE36</f>
        <v>歐陽子欣</v>
      </c>
      <c r="E244" s="37">
        <f>常分成績!AF36</f>
        <v>93</v>
      </c>
      <c r="F244" s="47">
        <v>96</v>
      </c>
    </row>
    <row r="245" spans="1:6">
      <c r="A245" s="33"/>
      <c r="B245" s="33"/>
    </row>
    <row r="246" spans="1:6">
      <c r="A246" s="37">
        <f>常分成績!AG4</f>
        <v>20190164</v>
      </c>
      <c r="B246" s="37">
        <f>常分成績!AH4</f>
        <v>1</v>
      </c>
      <c r="C246" s="38" t="s">
        <v>305</v>
      </c>
      <c r="D246" s="37" t="str">
        <f>常分成績!AI4</f>
        <v>王思琦</v>
      </c>
      <c r="E246" s="37">
        <f>常分成績!AJ4</f>
        <v>92</v>
      </c>
      <c r="F246" s="47">
        <v>73</v>
      </c>
    </row>
    <row r="247" spans="1:6">
      <c r="A247" s="37">
        <f>常分成績!AG5</f>
        <v>20230302</v>
      </c>
      <c r="B247" s="37">
        <f>常分成績!AH5</f>
        <v>2</v>
      </c>
      <c r="C247" s="38" t="s">
        <v>305</v>
      </c>
      <c r="D247" s="37" t="str">
        <f>常分成績!AI5</f>
        <v>甘永康</v>
      </c>
      <c r="E247" s="37">
        <f>常分成績!AJ5</f>
        <v>90</v>
      </c>
      <c r="F247" s="47">
        <v>82</v>
      </c>
    </row>
    <row r="248" spans="1:6">
      <c r="A248" s="37">
        <f>常分成績!AG6</f>
        <v>20143114</v>
      </c>
      <c r="B248" s="37">
        <f>常分成績!AH6</f>
        <v>3</v>
      </c>
      <c r="C248" s="38" t="s">
        <v>305</v>
      </c>
      <c r="D248" s="37" t="str">
        <f>常分成績!AI6</f>
        <v>何海樂</v>
      </c>
      <c r="E248" s="37">
        <f>常分成績!AJ6</f>
        <v>92</v>
      </c>
      <c r="F248" s="47">
        <v>90</v>
      </c>
    </row>
    <row r="249" spans="1:6">
      <c r="A249" s="37">
        <f>常分成績!AG7</f>
        <v>20190089</v>
      </c>
      <c r="B249" s="37">
        <f>常分成績!AH7</f>
        <v>4</v>
      </c>
      <c r="C249" s="38" t="s">
        <v>305</v>
      </c>
      <c r="D249" s="37" t="str">
        <f>常分成績!AI7</f>
        <v>何潔欣</v>
      </c>
      <c r="E249" s="37">
        <f>常分成績!AJ7</f>
        <v>93</v>
      </c>
      <c r="F249" s="47">
        <v>90</v>
      </c>
    </row>
    <row r="250" spans="1:6">
      <c r="A250" s="37">
        <f>常分成績!AG8</f>
        <v>20190042</v>
      </c>
      <c r="B250" s="37">
        <f>常分成績!AH8</f>
        <v>5</v>
      </c>
      <c r="C250" s="38" t="s">
        <v>305</v>
      </c>
      <c r="D250" s="37" t="str">
        <f>常分成績!AI8</f>
        <v>吳海儀</v>
      </c>
      <c r="E250" s="37">
        <f>常分成績!AJ8</f>
        <v>90</v>
      </c>
      <c r="F250" s="47">
        <v>87</v>
      </c>
    </row>
    <row r="251" spans="1:6">
      <c r="A251" s="37">
        <f>常分成績!AG9</f>
        <v>20220083</v>
      </c>
      <c r="B251" s="37">
        <f>常分成績!AH9</f>
        <v>6</v>
      </c>
      <c r="C251" s="38" t="s">
        <v>305</v>
      </c>
      <c r="D251" s="37" t="str">
        <f>常分成績!AI9</f>
        <v>吳靜希</v>
      </c>
      <c r="E251" s="37">
        <f>常分成績!AJ9</f>
        <v>90</v>
      </c>
      <c r="F251" s="47">
        <v>90</v>
      </c>
    </row>
    <row r="252" spans="1:6">
      <c r="A252" s="37">
        <f>常分成績!AG10</f>
        <v>20072002</v>
      </c>
      <c r="B252" s="37">
        <f>常分成績!AH10</f>
        <v>7</v>
      </c>
      <c r="C252" s="38" t="s">
        <v>305</v>
      </c>
      <c r="D252" s="37" t="str">
        <f>常分成績!AI10</f>
        <v>岑佩穎</v>
      </c>
      <c r="E252" s="37">
        <f>常分成績!AJ10</f>
        <v>88</v>
      </c>
      <c r="F252" s="47">
        <v>60</v>
      </c>
    </row>
    <row r="253" spans="1:6">
      <c r="A253" s="37">
        <f>常分成績!AG11</f>
        <v>20190070</v>
      </c>
      <c r="B253" s="37">
        <f>常分成績!AH11</f>
        <v>8</v>
      </c>
      <c r="C253" s="38" t="s">
        <v>305</v>
      </c>
      <c r="D253" s="37" t="str">
        <f>常分成績!AI11</f>
        <v>李浚軒</v>
      </c>
      <c r="E253" s="37">
        <f>常分成績!AJ11</f>
        <v>90</v>
      </c>
      <c r="F253" s="47">
        <v>81</v>
      </c>
    </row>
    <row r="254" spans="1:6">
      <c r="A254" s="37">
        <f>常分成績!AG12</f>
        <v>20190022</v>
      </c>
      <c r="B254" s="37">
        <f>常分成績!AH12</f>
        <v>9</v>
      </c>
      <c r="C254" s="38" t="s">
        <v>305</v>
      </c>
      <c r="D254" s="37" t="str">
        <f>常分成績!AI12</f>
        <v>林心瑜</v>
      </c>
      <c r="E254" s="37">
        <f>常分成績!AJ12</f>
        <v>93</v>
      </c>
      <c r="F254" s="47">
        <v>96</v>
      </c>
    </row>
    <row r="255" spans="1:6">
      <c r="A255" s="37">
        <f>常分成績!AG13</f>
        <v>20190192</v>
      </c>
      <c r="B255" s="37">
        <f>常分成績!AH13</f>
        <v>10</v>
      </c>
      <c r="C255" s="38" t="s">
        <v>305</v>
      </c>
      <c r="D255" s="37" t="str">
        <f>常分成績!AI13</f>
        <v>林延聰</v>
      </c>
      <c r="E255" s="37">
        <f>常分成績!AJ13</f>
        <v>92</v>
      </c>
      <c r="F255" s="47">
        <v>89</v>
      </c>
    </row>
    <row r="256" spans="1:6">
      <c r="A256" s="37">
        <f>常分成績!AG14</f>
        <v>20190225</v>
      </c>
      <c r="B256" s="37">
        <f>常分成績!AH14</f>
        <v>11</v>
      </c>
      <c r="C256" s="38" t="s">
        <v>305</v>
      </c>
      <c r="D256" s="37" t="str">
        <f>常分成績!AI14</f>
        <v>林彥霖</v>
      </c>
      <c r="E256" s="37">
        <f>常分成績!AJ14</f>
        <v>90</v>
      </c>
      <c r="F256" s="47">
        <v>91</v>
      </c>
    </row>
    <row r="257" spans="1:6">
      <c r="A257" s="37">
        <f>常分成績!AG15</f>
        <v>20230294</v>
      </c>
      <c r="B257" s="37">
        <f>常分成績!AH15</f>
        <v>12</v>
      </c>
      <c r="C257" s="38" t="s">
        <v>305</v>
      </c>
      <c r="D257" s="37" t="str">
        <f>常分成績!AI15</f>
        <v>洪凱鋒</v>
      </c>
      <c r="E257" s="37">
        <f>常分成績!AJ15</f>
        <v>90</v>
      </c>
      <c r="F257" s="47">
        <v>81</v>
      </c>
    </row>
    <row r="258" spans="1:6">
      <c r="A258" s="37">
        <f>常分成績!AG16</f>
        <v>20163042</v>
      </c>
      <c r="B258" s="37">
        <f>常分成績!AH16</f>
        <v>13</v>
      </c>
      <c r="C258" s="38" t="s">
        <v>305</v>
      </c>
      <c r="D258" s="37" t="str">
        <f>常分成績!AI16</f>
        <v>袁智峰</v>
      </c>
      <c r="E258" s="37">
        <f>常分成績!AJ16</f>
        <v>92</v>
      </c>
      <c r="F258" s="47">
        <v>87</v>
      </c>
    </row>
    <row r="259" spans="1:6">
      <c r="A259" s="37">
        <f>常分成績!AG17</f>
        <v>20200190</v>
      </c>
      <c r="B259" s="37">
        <f>常分成績!AH17</f>
        <v>14</v>
      </c>
      <c r="C259" s="38" t="s">
        <v>305</v>
      </c>
      <c r="D259" s="37" t="str">
        <f>常分成績!AI17</f>
        <v>袁曉萱</v>
      </c>
      <c r="E259" s="37">
        <f>常分成績!AJ17</f>
        <v>93</v>
      </c>
      <c r="F259" s="47">
        <v>95</v>
      </c>
    </row>
    <row r="260" spans="1:6">
      <c r="A260" s="37">
        <f>常分成績!AG18</f>
        <v>20153092</v>
      </c>
      <c r="B260" s="37">
        <f>常分成績!AH18</f>
        <v>15</v>
      </c>
      <c r="C260" s="38" t="s">
        <v>305</v>
      </c>
      <c r="D260" s="37" t="str">
        <f>常分成績!AI18</f>
        <v>張曉瑩</v>
      </c>
      <c r="E260" s="37">
        <f>常分成績!AJ18</f>
        <v>93</v>
      </c>
      <c r="F260" s="47">
        <v>94</v>
      </c>
    </row>
    <row r="261" spans="1:6">
      <c r="A261" s="37">
        <f>常分成績!AG19</f>
        <v>20122156</v>
      </c>
      <c r="B261" s="37">
        <f>常分成績!AH19</f>
        <v>16</v>
      </c>
      <c r="C261" s="38" t="s">
        <v>305</v>
      </c>
      <c r="D261" s="37" t="str">
        <f>常分成績!AI19</f>
        <v>曹曉淳</v>
      </c>
      <c r="E261" s="37">
        <f>常分成績!AJ19</f>
        <v>92</v>
      </c>
      <c r="F261" s="47">
        <v>91</v>
      </c>
    </row>
    <row r="262" spans="1:6">
      <c r="A262" s="37">
        <f>常分成績!AG20</f>
        <v>20190032</v>
      </c>
      <c r="B262" s="37">
        <f>常分成績!AH20</f>
        <v>17</v>
      </c>
      <c r="C262" s="38" t="s">
        <v>305</v>
      </c>
      <c r="D262" s="37" t="str">
        <f>常分成績!AI20</f>
        <v>梁君妍</v>
      </c>
      <c r="E262" s="37">
        <f>常分成績!AJ20</f>
        <v>90</v>
      </c>
      <c r="F262" s="47">
        <v>94</v>
      </c>
    </row>
    <row r="263" spans="1:6">
      <c r="A263" s="37">
        <f>常分成績!AG21</f>
        <v>20102064</v>
      </c>
      <c r="B263" s="37">
        <f>常分成績!AH21</f>
        <v>18</v>
      </c>
      <c r="C263" s="38" t="s">
        <v>305</v>
      </c>
      <c r="D263" s="37" t="str">
        <f>常分成績!AI21</f>
        <v>梁俊欣</v>
      </c>
      <c r="E263" s="37">
        <f>常分成績!AJ21</f>
        <v>93</v>
      </c>
      <c r="F263" s="47">
        <v>94</v>
      </c>
    </row>
    <row r="264" spans="1:6">
      <c r="A264" s="37">
        <f>常分成績!AG22</f>
        <v>20133014</v>
      </c>
      <c r="B264" s="37">
        <f>常分成績!AH22</f>
        <v>19</v>
      </c>
      <c r="C264" s="38" t="s">
        <v>305</v>
      </c>
      <c r="D264" s="37" t="str">
        <f>常分成績!AI22</f>
        <v>梁藹珺</v>
      </c>
      <c r="E264" s="37">
        <f>常分成績!AJ22</f>
        <v>90</v>
      </c>
      <c r="F264" s="47">
        <v>83</v>
      </c>
    </row>
    <row r="265" spans="1:6">
      <c r="A265" s="37">
        <f>常分成績!AG23</f>
        <v>20190007</v>
      </c>
      <c r="B265" s="37">
        <f>常分成績!AH23</f>
        <v>20</v>
      </c>
      <c r="C265" s="38" t="s">
        <v>305</v>
      </c>
      <c r="D265" s="37" t="str">
        <f>常分成績!AI23</f>
        <v>陳美鳳</v>
      </c>
      <c r="E265" s="37">
        <f>常分成績!AJ23</f>
        <v>92</v>
      </c>
      <c r="F265" s="47">
        <v>96</v>
      </c>
    </row>
    <row r="266" spans="1:6">
      <c r="A266" s="37">
        <f>常分成績!AG24</f>
        <v>20153014</v>
      </c>
      <c r="B266" s="37">
        <f>常分成績!AH24</f>
        <v>21</v>
      </c>
      <c r="C266" s="38" t="s">
        <v>305</v>
      </c>
      <c r="D266" s="37" t="str">
        <f>常分成績!AI24</f>
        <v>陳浩揚</v>
      </c>
      <c r="E266" s="37">
        <f>常分成績!AJ24</f>
        <v>92</v>
      </c>
      <c r="F266" s="47">
        <v>73</v>
      </c>
    </row>
    <row r="267" spans="1:6">
      <c r="A267" s="37">
        <f>常分成績!AG25</f>
        <v>20153076</v>
      </c>
      <c r="B267" s="37">
        <f>常分成績!AH25</f>
        <v>22</v>
      </c>
      <c r="C267" s="38" t="s">
        <v>305</v>
      </c>
      <c r="D267" s="37" t="str">
        <f>常分成績!AI25</f>
        <v>陳慧蕎</v>
      </c>
      <c r="E267" s="37">
        <f>常分成績!AJ25</f>
        <v>93</v>
      </c>
      <c r="F267" s="47">
        <v>98</v>
      </c>
    </row>
    <row r="268" spans="1:6">
      <c r="A268" s="37">
        <f>常分成績!AG26</f>
        <v>20102045</v>
      </c>
      <c r="B268" s="37">
        <f>常分成績!AH26</f>
        <v>23</v>
      </c>
      <c r="C268" s="38" t="s">
        <v>305</v>
      </c>
      <c r="D268" s="37" t="str">
        <f>常分成績!AI26</f>
        <v>曾智恆</v>
      </c>
      <c r="E268" s="37">
        <f>常分成績!AJ26</f>
        <v>88</v>
      </c>
      <c r="F268" s="47">
        <v>75</v>
      </c>
    </row>
    <row r="269" spans="1:6">
      <c r="A269" s="37">
        <f>常分成績!AG27</f>
        <v>20102016</v>
      </c>
      <c r="B269" s="37">
        <f>常分成績!AH27</f>
        <v>24</v>
      </c>
      <c r="C269" s="38" t="s">
        <v>305</v>
      </c>
      <c r="D269" s="37" t="str">
        <f>常分成績!AI27</f>
        <v>黃宇軒</v>
      </c>
      <c r="E269" s="37">
        <f>常分成績!AJ27</f>
        <v>88</v>
      </c>
      <c r="F269" s="47">
        <v>85</v>
      </c>
    </row>
    <row r="270" spans="1:6">
      <c r="A270" s="37">
        <f>常分成績!AG28</f>
        <v>20190064</v>
      </c>
      <c r="B270" s="37">
        <f>常分成績!AH28</f>
        <v>25</v>
      </c>
      <c r="C270" s="38" t="s">
        <v>305</v>
      </c>
      <c r="D270" s="37" t="str">
        <f>常分成績!AI28</f>
        <v>黃駿東</v>
      </c>
      <c r="E270" s="37">
        <f>常分成績!AJ28</f>
        <v>90</v>
      </c>
      <c r="F270" s="47">
        <v>92</v>
      </c>
    </row>
    <row r="271" spans="1:6">
      <c r="A271" s="37">
        <f>常分成績!AG29</f>
        <v>20190001</v>
      </c>
      <c r="B271" s="37">
        <f>常分成績!AH29</f>
        <v>26</v>
      </c>
      <c r="C271" s="38" t="s">
        <v>305</v>
      </c>
      <c r="D271" s="37" t="str">
        <f>常分成績!AI29</f>
        <v>黃馨瑩</v>
      </c>
      <c r="E271" s="37">
        <f>常分成績!AJ29</f>
        <v>90</v>
      </c>
      <c r="F271" s="47">
        <v>88</v>
      </c>
    </row>
    <row r="272" spans="1:6">
      <c r="A272" s="37">
        <f>常分成績!AG30</f>
        <v>20210259</v>
      </c>
      <c r="B272" s="37">
        <f>常分成績!AH30</f>
        <v>27</v>
      </c>
      <c r="C272" s="38" t="s">
        <v>305</v>
      </c>
      <c r="D272" s="37" t="str">
        <f>常分成績!AI30</f>
        <v>楊子誼</v>
      </c>
      <c r="E272" s="37">
        <f>常分成績!AJ30</f>
        <v>92</v>
      </c>
      <c r="F272" s="47">
        <v>87</v>
      </c>
    </row>
    <row r="273" spans="1:6">
      <c r="A273" s="37">
        <f>常分成績!AG31</f>
        <v>20102021</v>
      </c>
      <c r="B273" s="37">
        <f>常分成績!AH31</f>
        <v>28</v>
      </c>
      <c r="C273" s="38" t="s">
        <v>305</v>
      </c>
      <c r="D273" s="37" t="str">
        <f>常分成績!AI31</f>
        <v>葉凱瑩</v>
      </c>
      <c r="E273" s="37">
        <f>常分成績!AJ31</f>
        <v>90</v>
      </c>
      <c r="F273" s="47">
        <v>88</v>
      </c>
    </row>
    <row r="274" spans="1:6">
      <c r="A274" s="37">
        <f>常分成績!AG32</f>
        <v>20190223</v>
      </c>
      <c r="B274" s="37">
        <f>常分成績!AH32</f>
        <v>29</v>
      </c>
      <c r="C274" s="38" t="s">
        <v>305</v>
      </c>
      <c r="D274" s="37" t="str">
        <f>常分成績!AI32</f>
        <v>鄒子熙</v>
      </c>
      <c r="E274" s="37">
        <f>常分成績!AJ32</f>
        <v>90</v>
      </c>
      <c r="F274" s="47">
        <v>86</v>
      </c>
    </row>
    <row r="275" spans="1:6">
      <c r="A275" s="37">
        <f>常分成績!AG33</f>
        <v>20190023</v>
      </c>
      <c r="B275" s="37">
        <f>常分成績!AH33</f>
        <v>30</v>
      </c>
      <c r="C275" s="38" t="s">
        <v>305</v>
      </c>
      <c r="D275" s="37" t="str">
        <f>常分成績!AI33</f>
        <v>廖一鳴</v>
      </c>
      <c r="E275" s="37">
        <f>常分成績!AJ33</f>
        <v>90</v>
      </c>
      <c r="F275" s="47">
        <v>90</v>
      </c>
    </row>
    <row r="276" spans="1:6">
      <c r="A276" s="37">
        <f>常分成績!AG34</f>
        <v>20102023</v>
      </c>
      <c r="B276" s="37">
        <f>常分成績!AH34</f>
        <v>31</v>
      </c>
      <c r="C276" s="38" t="s">
        <v>305</v>
      </c>
      <c r="D276" s="37" t="str">
        <f>常分成績!AI34</f>
        <v>趙必麗</v>
      </c>
      <c r="E276" s="37">
        <f>常分成績!AJ34</f>
        <v>93</v>
      </c>
      <c r="F276" s="47">
        <v>93</v>
      </c>
    </row>
    <row r="277" spans="1:6">
      <c r="A277" s="37">
        <f>常分成績!AG35</f>
        <v>20210220</v>
      </c>
      <c r="B277" s="37">
        <f>常分成績!AH35</f>
        <v>32</v>
      </c>
      <c r="C277" s="38" t="s">
        <v>305</v>
      </c>
      <c r="D277" s="37" t="str">
        <f>常分成績!AI35</f>
        <v>劉柯泓</v>
      </c>
      <c r="E277" s="37">
        <f>常分成績!AJ35</f>
        <v>93</v>
      </c>
      <c r="F277" s="47">
        <v>87</v>
      </c>
    </row>
    <row r="278" spans="1:6">
      <c r="A278" s="37">
        <f>常分成績!AG36</f>
        <v>20210264</v>
      </c>
      <c r="B278" s="37">
        <f>常分成績!AH36</f>
        <v>33</v>
      </c>
      <c r="C278" s="38" t="s">
        <v>305</v>
      </c>
      <c r="D278" s="37" t="str">
        <f>常分成績!AI36</f>
        <v>蔡嘉傑</v>
      </c>
      <c r="E278" s="37">
        <f>常分成績!AJ36</f>
        <v>90</v>
      </c>
      <c r="F278" s="47">
        <v>90</v>
      </c>
    </row>
    <row r="279" spans="1:6">
      <c r="A279" s="37">
        <f>常分成績!AG37</f>
        <v>20102052</v>
      </c>
      <c r="B279" s="37">
        <f>常分成績!AH37</f>
        <v>34</v>
      </c>
      <c r="C279" s="38" t="s">
        <v>305</v>
      </c>
      <c r="D279" s="37" t="str">
        <f>常分成績!AI37</f>
        <v>鄺基業</v>
      </c>
      <c r="E279" s="37">
        <f>常分成績!AJ37</f>
        <v>93</v>
      </c>
      <c r="F279" s="47">
        <v>84</v>
      </c>
    </row>
    <row r="280" spans="1:6">
      <c r="A280" s="33"/>
      <c r="B280" s="33"/>
    </row>
    <row r="281" spans="1:6">
      <c r="A281" s="33"/>
      <c r="B281" s="33"/>
    </row>
  </sheetData>
  <mergeCells count="1">
    <mergeCell ref="A1:C1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2024-11-07T07:03:58Z</dcterms:modified>
</cp:coreProperties>
</file>