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高三級\"/>
    </mc:Choice>
  </mc:AlternateContent>
  <xr:revisionPtr revIDLastSave="0" documentId="13_ncr:1_{D3894AC9-3EB9-473E-A864-1A7F535134AE}" xr6:coauthVersionLast="45" xr6:coauthVersionMax="45" xr10:uidLastSave="{00000000-0000-0000-0000-000000000000}"/>
  <bookViews>
    <workbookView xWindow="-120" yWindow="-120" windowWidth="29040" windowHeight="15840" activeTab="1" xr2:uid="{6D544242-3269-46CC-A4C0-E6D7E32378D6}"/>
  </bookViews>
  <sheets>
    <sheet name="摸底成績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79" i="2" l="1"/>
  <c r="D279" i="2"/>
  <c r="B279" i="2"/>
  <c r="A279" i="2"/>
  <c r="E278" i="2"/>
  <c r="D278" i="2"/>
  <c r="B278" i="2"/>
  <c r="A278" i="2"/>
  <c r="E277" i="2"/>
  <c r="D277" i="2"/>
  <c r="B277" i="2"/>
  <c r="A277" i="2"/>
  <c r="E276" i="2"/>
  <c r="D276" i="2"/>
  <c r="B276" i="2"/>
  <c r="A276" i="2"/>
  <c r="E275" i="2"/>
  <c r="D275" i="2"/>
  <c r="B275" i="2"/>
  <c r="A275" i="2"/>
  <c r="E274" i="2"/>
  <c r="D274" i="2"/>
  <c r="B274" i="2"/>
  <c r="A274" i="2"/>
  <c r="E273" i="2"/>
  <c r="D273" i="2"/>
  <c r="B273" i="2"/>
  <c r="A273" i="2"/>
  <c r="E272" i="2"/>
  <c r="D272" i="2"/>
  <c r="B272" i="2"/>
  <c r="A272" i="2"/>
  <c r="E271" i="2"/>
  <c r="D271" i="2"/>
  <c r="B271" i="2"/>
  <c r="A271" i="2"/>
  <c r="E270" i="2"/>
  <c r="D270" i="2"/>
  <c r="B270" i="2"/>
  <c r="A270" i="2"/>
  <c r="E269" i="2"/>
  <c r="D269" i="2"/>
  <c r="B269" i="2"/>
  <c r="A269" i="2"/>
  <c r="E268" i="2"/>
  <c r="D268" i="2"/>
  <c r="B268" i="2"/>
  <c r="A268" i="2"/>
  <c r="E267" i="2"/>
  <c r="D267" i="2"/>
  <c r="B267" i="2"/>
  <c r="A267" i="2"/>
  <c r="E266" i="2"/>
  <c r="D266" i="2"/>
  <c r="B266" i="2"/>
  <c r="A266" i="2"/>
  <c r="E265" i="2"/>
  <c r="D265" i="2"/>
  <c r="B265" i="2"/>
  <c r="A265" i="2"/>
  <c r="E264" i="2"/>
  <c r="D264" i="2"/>
  <c r="B264" i="2"/>
  <c r="A264" i="2"/>
  <c r="E263" i="2"/>
  <c r="D263" i="2"/>
  <c r="B263" i="2"/>
  <c r="A263" i="2"/>
  <c r="E262" i="2"/>
  <c r="D262" i="2"/>
  <c r="B262" i="2"/>
  <c r="A262" i="2"/>
  <c r="E261" i="2"/>
  <c r="D261" i="2"/>
  <c r="B261" i="2"/>
  <c r="A261" i="2"/>
  <c r="E260" i="2"/>
  <c r="D260" i="2"/>
  <c r="B260" i="2"/>
  <c r="A260" i="2"/>
  <c r="E259" i="2"/>
  <c r="D259" i="2"/>
  <c r="B259" i="2"/>
  <c r="A259" i="2"/>
  <c r="E258" i="2"/>
  <c r="D258" i="2"/>
  <c r="B258" i="2"/>
  <c r="A258" i="2"/>
  <c r="E257" i="2"/>
  <c r="D257" i="2"/>
  <c r="B257" i="2"/>
  <c r="A257" i="2"/>
  <c r="E256" i="2"/>
  <c r="D256" i="2"/>
  <c r="B256" i="2"/>
  <c r="A256" i="2"/>
  <c r="E255" i="2"/>
  <c r="D255" i="2"/>
  <c r="B255" i="2"/>
  <c r="A255" i="2"/>
  <c r="E254" i="2"/>
  <c r="D254" i="2"/>
  <c r="B254" i="2"/>
  <c r="A254" i="2"/>
  <c r="E253" i="2"/>
  <c r="D253" i="2"/>
  <c r="B253" i="2"/>
  <c r="A253" i="2"/>
  <c r="E252" i="2"/>
  <c r="D252" i="2"/>
  <c r="B252" i="2"/>
  <c r="A252" i="2"/>
  <c r="E251" i="2"/>
  <c r="D251" i="2"/>
  <c r="B251" i="2"/>
  <c r="A251" i="2"/>
  <c r="E250" i="2"/>
  <c r="D250" i="2"/>
  <c r="B250" i="2"/>
  <c r="A250" i="2"/>
  <c r="E249" i="2"/>
  <c r="D249" i="2"/>
  <c r="B249" i="2"/>
  <c r="A249" i="2"/>
  <c r="E248" i="2"/>
  <c r="D248" i="2"/>
  <c r="B248" i="2"/>
  <c r="A248" i="2"/>
  <c r="E247" i="2"/>
  <c r="D247" i="2"/>
  <c r="B247" i="2"/>
  <c r="A247" i="2"/>
  <c r="E246" i="2"/>
  <c r="D246" i="2"/>
  <c r="B246" i="2"/>
  <c r="A246" i="2"/>
  <c r="E244" i="2"/>
  <c r="D244" i="2"/>
  <c r="B244" i="2"/>
  <c r="A244" i="2"/>
  <c r="E243" i="2"/>
  <c r="D243" i="2"/>
  <c r="B243" i="2"/>
  <c r="A243" i="2"/>
  <c r="E242" i="2"/>
  <c r="D242" i="2"/>
  <c r="B242" i="2"/>
  <c r="A242" i="2"/>
  <c r="E241" i="2"/>
  <c r="D241" i="2"/>
  <c r="B241" i="2"/>
  <c r="A241" i="2"/>
  <c r="E240" i="2"/>
  <c r="D240" i="2"/>
  <c r="B240" i="2"/>
  <c r="A240" i="2"/>
  <c r="E239" i="2"/>
  <c r="D239" i="2"/>
  <c r="B239" i="2"/>
  <c r="A239" i="2"/>
  <c r="E238" i="2"/>
  <c r="D238" i="2"/>
  <c r="B238" i="2"/>
  <c r="A238" i="2"/>
  <c r="E237" i="2"/>
  <c r="D237" i="2"/>
  <c r="B237" i="2"/>
  <c r="A237" i="2"/>
  <c r="E236" i="2"/>
  <c r="D236" i="2"/>
  <c r="B236" i="2"/>
  <c r="A236" i="2"/>
  <c r="E235" i="2"/>
  <c r="D235" i="2"/>
  <c r="B235" i="2"/>
  <c r="A235" i="2"/>
  <c r="E234" i="2"/>
  <c r="D234" i="2"/>
  <c r="B234" i="2"/>
  <c r="A234" i="2"/>
  <c r="E233" i="2"/>
  <c r="D233" i="2"/>
  <c r="B233" i="2"/>
  <c r="A233" i="2"/>
  <c r="E232" i="2"/>
  <c r="D232" i="2"/>
  <c r="B232" i="2"/>
  <c r="A232" i="2"/>
  <c r="E231" i="2"/>
  <c r="D231" i="2"/>
  <c r="B231" i="2"/>
  <c r="A231" i="2"/>
  <c r="E230" i="2"/>
  <c r="D230" i="2"/>
  <c r="B230" i="2"/>
  <c r="A230" i="2"/>
  <c r="E229" i="2"/>
  <c r="D229" i="2"/>
  <c r="B229" i="2"/>
  <c r="A229" i="2"/>
  <c r="E228" i="2"/>
  <c r="D228" i="2"/>
  <c r="B228" i="2"/>
  <c r="A228" i="2"/>
  <c r="E227" i="2"/>
  <c r="D227" i="2"/>
  <c r="B227" i="2"/>
  <c r="A227" i="2"/>
  <c r="E226" i="2"/>
  <c r="D226" i="2"/>
  <c r="B226" i="2"/>
  <c r="A226" i="2"/>
  <c r="E225" i="2"/>
  <c r="D225" i="2"/>
  <c r="B225" i="2"/>
  <c r="A225" i="2"/>
  <c r="E224" i="2"/>
  <c r="D224" i="2"/>
  <c r="B224" i="2"/>
  <c r="A224" i="2"/>
  <c r="E223" i="2"/>
  <c r="D223" i="2"/>
  <c r="B223" i="2"/>
  <c r="A223" i="2"/>
  <c r="E222" i="2"/>
  <c r="D222" i="2"/>
  <c r="B222" i="2"/>
  <c r="A222" i="2"/>
  <c r="E221" i="2"/>
  <c r="D221" i="2"/>
  <c r="B221" i="2"/>
  <c r="A221" i="2"/>
  <c r="E220" i="2"/>
  <c r="D220" i="2"/>
  <c r="B220" i="2"/>
  <c r="A220" i="2"/>
  <c r="E219" i="2"/>
  <c r="D219" i="2"/>
  <c r="B219" i="2"/>
  <c r="A219" i="2"/>
  <c r="E218" i="2"/>
  <c r="D218" i="2"/>
  <c r="B218" i="2"/>
  <c r="A218" i="2"/>
  <c r="E217" i="2"/>
  <c r="D217" i="2"/>
  <c r="B217" i="2"/>
  <c r="A217" i="2"/>
  <c r="E216" i="2"/>
  <c r="D216" i="2"/>
  <c r="B216" i="2"/>
  <c r="A216" i="2"/>
  <c r="E215" i="2"/>
  <c r="D215" i="2"/>
  <c r="B215" i="2"/>
  <c r="A215" i="2"/>
  <c r="E214" i="2"/>
  <c r="D214" i="2"/>
  <c r="B214" i="2"/>
  <c r="A214" i="2"/>
  <c r="E213" i="2"/>
  <c r="D213" i="2"/>
  <c r="B213" i="2"/>
  <c r="A213" i="2"/>
  <c r="E212" i="2"/>
  <c r="D212" i="2"/>
  <c r="B212" i="2"/>
  <c r="A212" i="2"/>
  <c r="E210" i="2"/>
  <c r="D210" i="2"/>
  <c r="B210" i="2"/>
  <c r="A210" i="2"/>
  <c r="E209" i="2"/>
  <c r="D209" i="2"/>
  <c r="B209" i="2"/>
  <c r="A209" i="2"/>
  <c r="E208" i="2"/>
  <c r="D208" i="2"/>
  <c r="B208" i="2"/>
  <c r="A208" i="2"/>
  <c r="E207" i="2"/>
  <c r="D207" i="2"/>
  <c r="B207" i="2"/>
  <c r="A207" i="2"/>
  <c r="E206" i="2"/>
  <c r="D206" i="2"/>
  <c r="B206" i="2"/>
  <c r="A206" i="2"/>
  <c r="E205" i="2"/>
  <c r="D205" i="2"/>
  <c r="B205" i="2"/>
  <c r="A205" i="2"/>
  <c r="E204" i="2"/>
  <c r="D204" i="2"/>
  <c r="B204" i="2"/>
  <c r="A204" i="2"/>
  <c r="E203" i="2"/>
  <c r="D203" i="2"/>
  <c r="B203" i="2"/>
  <c r="A203" i="2"/>
  <c r="E202" i="2"/>
  <c r="D202" i="2"/>
  <c r="B202" i="2"/>
  <c r="A202" i="2"/>
  <c r="E201" i="2"/>
  <c r="D201" i="2"/>
  <c r="B201" i="2"/>
  <c r="A201" i="2"/>
  <c r="E200" i="2"/>
  <c r="D200" i="2"/>
  <c r="B200" i="2"/>
  <c r="A200" i="2"/>
  <c r="E199" i="2"/>
  <c r="D199" i="2"/>
  <c r="B199" i="2"/>
  <c r="A199" i="2"/>
  <c r="E198" i="2"/>
  <c r="D198" i="2"/>
  <c r="B198" i="2"/>
  <c r="A198" i="2"/>
  <c r="E197" i="2"/>
  <c r="D197" i="2"/>
  <c r="B197" i="2"/>
  <c r="A197" i="2"/>
  <c r="E196" i="2"/>
  <c r="D196" i="2"/>
  <c r="B196" i="2"/>
  <c r="A196" i="2"/>
  <c r="E195" i="2"/>
  <c r="D195" i="2"/>
  <c r="B195" i="2"/>
  <c r="A195" i="2"/>
  <c r="E194" i="2"/>
  <c r="D194" i="2"/>
  <c r="B194" i="2"/>
  <c r="A194" i="2"/>
  <c r="E193" i="2"/>
  <c r="D193" i="2"/>
  <c r="B193" i="2"/>
  <c r="A193" i="2"/>
  <c r="E192" i="2"/>
  <c r="D192" i="2"/>
  <c r="B192" i="2"/>
  <c r="A192" i="2"/>
  <c r="E191" i="2"/>
  <c r="D191" i="2"/>
  <c r="B191" i="2"/>
  <c r="A191" i="2"/>
  <c r="E190" i="2"/>
  <c r="D190" i="2"/>
  <c r="B190" i="2"/>
  <c r="A190" i="2"/>
  <c r="E189" i="2"/>
  <c r="D189" i="2"/>
  <c r="B189" i="2"/>
  <c r="A189" i="2"/>
  <c r="E188" i="2"/>
  <c r="D188" i="2"/>
  <c r="B188" i="2"/>
  <c r="A188" i="2"/>
  <c r="E187" i="2"/>
  <c r="D187" i="2"/>
  <c r="B187" i="2"/>
  <c r="A187" i="2"/>
  <c r="E186" i="2"/>
  <c r="D186" i="2"/>
  <c r="B186" i="2"/>
  <c r="A186" i="2"/>
  <c r="E185" i="2"/>
  <c r="D185" i="2"/>
  <c r="B185" i="2"/>
  <c r="A185" i="2"/>
  <c r="E184" i="2"/>
  <c r="D184" i="2"/>
  <c r="B184" i="2"/>
  <c r="A184" i="2"/>
  <c r="E183" i="2"/>
  <c r="D183" i="2"/>
  <c r="B183" i="2"/>
  <c r="A183" i="2"/>
  <c r="E182" i="2"/>
  <c r="D182" i="2"/>
  <c r="B182" i="2"/>
  <c r="A182" i="2"/>
  <c r="E181" i="2"/>
  <c r="D181" i="2"/>
  <c r="B181" i="2"/>
  <c r="A181" i="2"/>
  <c r="E180" i="2"/>
  <c r="D180" i="2"/>
  <c r="B180" i="2"/>
  <c r="A180" i="2"/>
  <c r="E179" i="2"/>
  <c r="D179" i="2"/>
  <c r="B179" i="2"/>
  <c r="A179" i="2"/>
  <c r="E178" i="2"/>
  <c r="D178" i="2"/>
  <c r="B178" i="2"/>
  <c r="A178" i="2"/>
  <c r="E177" i="2"/>
  <c r="D177" i="2"/>
  <c r="B177" i="2"/>
  <c r="A177" i="2"/>
  <c r="E175" i="2"/>
  <c r="D175" i="2"/>
  <c r="B175" i="2"/>
  <c r="A175" i="2"/>
  <c r="E174" i="2"/>
  <c r="D174" i="2"/>
  <c r="B174" i="2"/>
  <c r="A174" i="2"/>
  <c r="E173" i="2"/>
  <c r="D173" i="2"/>
  <c r="B173" i="2"/>
  <c r="A173" i="2"/>
  <c r="E172" i="2"/>
  <c r="D172" i="2"/>
  <c r="B172" i="2"/>
  <c r="A172" i="2"/>
  <c r="E171" i="2"/>
  <c r="D171" i="2"/>
  <c r="B171" i="2"/>
  <c r="A171" i="2"/>
  <c r="E170" i="2"/>
  <c r="D170" i="2"/>
  <c r="B170" i="2"/>
  <c r="A170" i="2"/>
  <c r="E169" i="2"/>
  <c r="D169" i="2"/>
  <c r="B169" i="2"/>
  <c r="A169" i="2"/>
  <c r="E168" i="2"/>
  <c r="D168" i="2"/>
  <c r="B168" i="2"/>
  <c r="A168" i="2"/>
  <c r="E167" i="2"/>
  <c r="D167" i="2"/>
  <c r="B167" i="2"/>
  <c r="A167" i="2"/>
  <c r="E166" i="2"/>
  <c r="D166" i="2"/>
  <c r="B166" i="2"/>
  <c r="A166" i="2"/>
  <c r="E165" i="2"/>
  <c r="D165" i="2"/>
  <c r="B165" i="2"/>
  <c r="A165" i="2"/>
  <c r="E164" i="2"/>
  <c r="D164" i="2"/>
  <c r="B164" i="2"/>
  <c r="A164" i="2"/>
  <c r="E163" i="2"/>
  <c r="D163" i="2"/>
  <c r="B163" i="2"/>
  <c r="A163" i="2"/>
  <c r="E162" i="2"/>
  <c r="D162" i="2"/>
  <c r="B162" i="2"/>
  <c r="A162" i="2"/>
  <c r="E161" i="2"/>
  <c r="D161" i="2"/>
  <c r="B161" i="2"/>
  <c r="A161" i="2"/>
  <c r="E160" i="2"/>
  <c r="D160" i="2"/>
  <c r="B160" i="2"/>
  <c r="A160" i="2"/>
  <c r="E159" i="2"/>
  <c r="D159" i="2"/>
  <c r="B159" i="2"/>
  <c r="A159" i="2"/>
  <c r="E158" i="2"/>
  <c r="D158" i="2"/>
  <c r="B158" i="2"/>
  <c r="A158" i="2"/>
  <c r="E157" i="2"/>
  <c r="D157" i="2"/>
  <c r="B157" i="2"/>
  <c r="A157" i="2"/>
  <c r="E156" i="2"/>
  <c r="D156" i="2"/>
  <c r="B156" i="2"/>
  <c r="A156" i="2"/>
  <c r="E155" i="2"/>
  <c r="D155" i="2"/>
  <c r="B155" i="2"/>
  <c r="A155" i="2"/>
  <c r="E154" i="2"/>
  <c r="D154" i="2"/>
  <c r="B154" i="2"/>
  <c r="A154" i="2"/>
  <c r="E153" i="2"/>
  <c r="D153" i="2"/>
  <c r="B153" i="2"/>
  <c r="A153" i="2"/>
  <c r="E152" i="2"/>
  <c r="D152" i="2"/>
  <c r="B152" i="2"/>
  <c r="A152" i="2"/>
  <c r="E151" i="2"/>
  <c r="D151" i="2"/>
  <c r="B151" i="2"/>
  <c r="A151" i="2"/>
  <c r="E150" i="2"/>
  <c r="D150" i="2"/>
  <c r="B150" i="2"/>
  <c r="A150" i="2"/>
  <c r="E149" i="2"/>
  <c r="D149" i="2"/>
  <c r="B149" i="2"/>
  <c r="A149" i="2"/>
  <c r="E148" i="2"/>
  <c r="D148" i="2"/>
  <c r="B148" i="2"/>
  <c r="A148" i="2"/>
  <c r="E147" i="2"/>
  <c r="D147" i="2"/>
  <c r="B147" i="2"/>
  <c r="A147" i="2"/>
  <c r="E146" i="2"/>
  <c r="D146" i="2"/>
  <c r="B146" i="2"/>
  <c r="A146" i="2"/>
  <c r="E145" i="2"/>
  <c r="D145" i="2"/>
  <c r="B145" i="2"/>
  <c r="A145" i="2"/>
  <c r="E144" i="2"/>
  <c r="D144" i="2"/>
  <c r="B144" i="2"/>
  <c r="A144" i="2"/>
  <c r="E143" i="2"/>
  <c r="D143" i="2"/>
  <c r="B143" i="2"/>
  <c r="A143" i="2"/>
  <c r="E141" i="2"/>
  <c r="D141" i="2"/>
  <c r="B141" i="2"/>
  <c r="A141" i="2"/>
  <c r="E140" i="2"/>
  <c r="D140" i="2"/>
  <c r="B140" i="2"/>
  <c r="A140" i="2"/>
  <c r="E139" i="2"/>
  <c r="D139" i="2"/>
  <c r="B139" i="2"/>
  <c r="A139" i="2"/>
  <c r="E138" i="2"/>
  <c r="D138" i="2"/>
  <c r="B138" i="2"/>
  <c r="A138" i="2"/>
  <c r="E137" i="2"/>
  <c r="D137" i="2"/>
  <c r="B137" i="2"/>
  <c r="A137" i="2"/>
  <c r="E136" i="2"/>
  <c r="D136" i="2"/>
  <c r="B136" i="2"/>
  <c r="A136" i="2"/>
  <c r="E135" i="2"/>
  <c r="D135" i="2"/>
  <c r="B135" i="2"/>
  <c r="A135" i="2"/>
  <c r="E134" i="2"/>
  <c r="D134" i="2"/>
  <c r="B134" i="2"/>
  <c r="A134" i="2"/>
  <c r="E133" i="2"/>
  <c r="D133" i="2"/>
  <c r="B133" i="2"/>
  <c r="A133" i="2"/>
  <c r="E132" i="2"/>
  <c r="D132" i="2"/>
  <c r="B132" i="2"/>
  <c r="A132" i="2"/>
  <c r="E131" i="2"/>
  <c r="D131" i="2"/>
  <c r="B131" i="2"/>
  <c r="A131" i="2"/>
  <c r="E130" i="2"/>
  <c r="D130" i="2"/>
  <c r="B130" i="2"/>
  <c r="A130" i="2"/>
  <c r="E129" i="2"/>
  <c r="D129" i="2"/>
  <c r="B129" i="2"/>
  <c r="A129" i="2"/>
  <c r="E128" i="2"/>
  <c r="D128" i="2"/>
  <c r="B128" i="2"/>
  <c r="A128" i="2"/>
  <c r="E127" i="2"/>
  <c r="D127" i="2"/>
  <c r="B127" i="2"/>
  <c r="A127" i="2"/>
  <c r="E126" i="2"/>
  <c r="D126" i="2"/>
  <c r="B126" i="2"/>
  <c r="A126" i="2"/>
  <c r="E125" i="2"/>
  <c r="D125" i="2"/>
  <c r="B125" i="2"/>
  <c r="A125" i="2"/>
  <c r="E124" i="2"/>
  <c r="D124" i="2"/>
  <c r="B124" i="2"/>
  <c r="A124" i="2"/>
  <c r="E123" i="2"/>
  <c r="D123" i="2"/>
  <c r="B123" i="2"/>
  <c r="A123" i="2"/>
  <c r="E122" i="2"/>
  <c r="D122" i="2"/>
  <c r="B122" i="2"/>
  <c r="A122" i="2"/>
  <c r="E121" i="2"/>
  <c r="D121" i="2"/>
  <c r="B121" i="2"/>
  <c r="A121" i="2"/>
  <c r="E120" i="2"/>
  <c r="D120" i="2"/>
  <c r="B120" i="2"/>
  <c r="A120" i="2"/>
  <c r="E119" i="2"/>
  <c r="D119" i="2"/>
  <c r="B119" i="2"/>
  <c r="A119" i="2"/>
  <c r="E118" i="2"/>
  <c r="D118" i="2"/>
  <c r="B118" i="2"/>
  <c r="A118" i="2"/>
  <c r="E117" i="2"/>
  <c r="D117" i="2"/>
  <c r="B117" i="2"/>
  <c r="A117" i="2"/>
  <c r="E116" i="2"/>
  <c r="D116" i="2"/>
  <c r="B116" i="2"/>
  <c r="A116" i="2"/>
  <c r="E115" i="2"/>
  <c r="D115" i="2"/>
  <c r="B115" i="2"/>
  <c r="A115" i="2"/>
  <c r="E113" i="2"/>
  <c r="D113" i="2"/>
  <c r="B113" i="2"/>
  <c r="A113" i="2"/>
  <c r="E112" i="2"/>
  <c r="D112" i="2"/>
  <c r="B112" i="2"/>
  <c r="A112" i="2"/>
  <c r="E111" i="2"/>
  <c r="D111" i="2"/>
  <c r="B111" i="2"/>
  <c r="A111" i="2"/>
  <c r="E110" i="2"/>
  <c r="D110" i="2"/>
  <c r="B110" i="2"/>
  <c r="A110" i="2"/>
  <c r="E109" i="2"/>
  <c r="D109" i="2"/>
  <c r="B109" i="2"/>
  <c r="A109" i="2"/>
  <c r="E108" i="2"/>
  <c r="D108" i="2"/>
  <c r="B108" i="2"/>
  <c r="A108" i="2"/>
  <c r="E107" i="2"/>
  <c r="D107" i="2"/>
  <c r="B107" i="2"/>
  <c r="A107" i="2"/>
  <c r="E106" i="2"/>
  <c r="D106" i="2"/>
  <c r="B106" i="2"/>
  <c r="A106" i="2"/>
  <c r="E105" i="2"/>
  <c r="D105" i="2"/>
  <c r="B105" i="2"/>
  <c r="A105" i="2"/>
  <c r="E104" i="2"/>
  <c r="D104" i="2"/>
  <c r="B104" i="2"/>
  <c r="A104" i="2"/>
  <c r="E103" i="2"/>
  <c r="D103" i="2"/>
  <c r="B103" i="2"/>
  <c r="A103" i="2"/>
  <c r="E102" i="2"/>
  <c r="D102" i="2"/>
  <c r="B102" i="2"/>
  <c r="A102" i="2"/>
  <c r="E101" i="2"/>
  <c r="D101" i="2"/>
  <c r="B101" i="2"/>
  <c r="A101" i="2"/>
  <c r="E100" i="2"/>
  <c r="D100" i="2"/>
  <c r="B100" i="2"/>
  <c r="A100" i="2"/>
  <c r="E99" i="2"/>
  <c r="D99" i="2"/>
  <c r="B99" i="2"/>
  <c r="A99" i="2"/>
  <c r="E98" i="2"/>
  <c r="D98" i="2"/>
  <c r="B98" i="2"/>
  <c r="A98" i="2"/>
  <c r="E97" i="2"/>
  <c r="D97" i="2"/>
  <c r="B97" i="2"/>
  <c r="A97" i="2"/>
  <c r="E96" i="2"/>
  <c r="D96" i="2"/>
  <c r="B96" i="2"/>
  <c r="A96" i="2"/>
  <c r="E95" i="2"/>
  <c r="D95" i="2"/>
  <c r="B95" i="2"/>
  <c r="A95" i="2"/>
  <c r="E94" i="2"/>
  <c r="D94" i="2"/>
  <c r="B94" i="2"/>
  <c r="A94" i="2"/>
  <c r="E93" i="2"/>
  <c r="D93" i="2"/>
  <c r="B93" i="2"/>
  <c r="A93" i="2"/>
  <c r="E92" i="2"/>
  <c r="D92" i="2"/>
  <c r="B92" i="2"/>
  <c r="A92" i="2"/>
  <c r="E91" i="2"/>
  <c r="D91" i="2"/>
  <c r="B91" i="2"/>
  <c r="A91" i="2"/>
  <c r="E90" i="2"/>
  <c r="D90" i="2"/>
  <c r="B90" i="2"/>
  <c r="A90" i="2"/>
  <c r="E89" i="2"/>
  <c r="D89" i="2"/>
  <c r="B89" i="2"/>
  <c r="A89" i="2"/>
  <c r="E88" i="2"/>
  <c r="D88" i="2"/>
  <c r="B88" i="2"/>
  <c r="A88" i="2"/>
  <c r="E86" i="2"/>
  <c r="D86" i="2"/>
  <c r="B86" i="2"/>
  <c r="A86" i="2"/>
  <c r="E85" i="2"/>
  <c r="D85" i="2"/>
  <c r="B85" i="2"/>
  <c r="A85" i="2"/>
  <c r="E84" i="2"/>
  <c r="D84" i="2"/>
  <c r="B84" i="2"/>
  <c r="A84" i="2"/>
  <c r="E83" i="2"/>
  <c r="D83" i="2"/>
  <c r="B83" i="2"/>
  <c r="A83" i="2"/>
  <c r="E82" i="2"/>
  <c r="D82" i="2"/>
  <c r="B82" i="2"/>
  <c r="A82" i="2"/>
  <c r="E81" i="2"/>
  <c r="D81" i="2"/>
  <c r="B81" i="2"/>
  <c r="A81" i="2"/>
  <c r="E80" i="2"/>
  <c r="D80" i="2"/>
  <c r="B80" i="2"/>
  <c r="A80" i="2"/>
  <c r="E79" i="2"/>
  <c r="D79" i="2"/>
  <c r="B79" i="2"/>
  <c r="A79" i="2"/>
  <c r="E78" i="2"/>
  <c r="D78" i="2"/>
  <c r="B78" i="2"/>
  <c r="A78" i="2"/>
  <c r="E77" i="2"/>
  <c r="D77" i="2"/>
  <c r="B77" i="2"/>
  <c r="A77" i="2"/>
  <c r="E76" i="2"/>
  <c r="D76" i="2"/>
  <c r="B76" i="2"/>
  <c r="A76" i="2"/>
  <c r="E75" i="2"/>
  <c r="D75" i="2"/>
  <c r="B75" i="2"/>
  <c r="A75" i="2"/>
  <c r="E74" i="2"/>
  <c r="D74" i="2"/>
  <c r="B74" i="2"/>
  <c r="A74" i="2"/>
  <c r="E73" i="2"/>
  <c r="D73" i="2"/>
  <c r="B73" i="2"/>
  <c r="A73" i="2"/>
  <c r="E72" i="2"/>
  <c r="D72" i="2"/>
  <c r="B72" i="2"/>
  <c r="A72" i="2"/>
  <c r="E71" i="2"/>
  <c r="D71" i="2"/>
  <c r="B71" i="2"/>
  <c r="A71" i="2"/>
  <c r="E70" i="2"/>
  <c r="D70" i="2"/>
  <c r="B70" i="2"/>
  <c r="A70" i="2"/>
  <c r="E69" i="2"/>
  <c r="D69" i="2"/>
  <c r="B69" i="2"/>
  <c r="A69" i="2"/>
  <c r="E68" i="2"/>
  <c r="D68" i="2"/>
  <c r="B68" i="2"/>
  <c r="A68" i="2"/>
  <c r="E67" i="2"/>
  <c r="D67" i="2"/>
  <c r="B67" i="2"/>
  <c r="A67" i="2"/>
  <c r="E66" i="2"/>
  <c r="D66" i="2"/>
  <c r="B66" i="2"/>
  <c r="A66" i="2"/>
  <c r="E65" i="2"/>
  <c r="D65" i="2"/>
  <c r="B65" i="2"/>
  <c r="A65" i="2"/>
  <c r="E64" i="2"/>
  <c r="D64" i="2"/>
  <c r="B64" i="2"/>
  <c r="A64" i="2"/>
  <c r="E63" i="2"/>
  <c r="D63" i="2"/>
  <c r="B63" i="2"/>
  <c r="A63" i="2"/>
  <c r="E62" i="2"/>
  <c r="D62" i="2"/>
  <c r="B62" i="2"/>
  <c r="A62" i="2"/>
  <c r="E61" i="2"/>
  <c r="D61" i="2"/>
  <c r="B61" i="2"/>
  <c r="A61" i="2"/>
  <c r="E60" i="2"/>
  <c r="D60" i="2"/>
  <c r="B60" i="2"/>
  <c r="A60" i="2"/>
  <c r="E58" i="2"/>
  <c r="D58" i="2"/>
  <c r="B58" i="2"/>
  <c r="A58" i="2"/>
  <c r="E57" i="2"/>
  <c r="D57" i="2"/>
  <c r="B57" i="2"/>
  <c r="A57" i="2"/>
  <c r="E56" i="2"/>
  <c r="D56" i="2"/>
  <c r="B56" i="2"/>
  <c r="A56" i="2"/>
  <c r="E55" i="2"/>
  <c r="D55" i="2"/>
  <c r="B55" i="2"/>
  <c r="A55" i="2"/>
  <c r="E54" i="2"/>
  <c r="D54" i="2"/>
  <c r="B54" i="2"/>
  <c r="A54" i="2"/>
  <c r="E53" i="2"/>
  <c r="D53" i="2"/>
  <c r="B53" i="2"/>
  <c r="A53" i="2"/>
  <c r="E52" i="2"/>
  <c r="D52" i="2"/>
  <c r="B52" i="2"/>
  <c r="A52" i="2"/>
  <c r="E51" i="2"/>
  <c r="D51" i="2"/>
  <c r="B51" i="2"/>
  <c r="A51" i="2"/>
  <c r="E50" i="2"/>
  <c r="D50" i="2"/>
  <c r="B50" i="2"/>
  <c r="A50" i="2"/>
  <c r="E49" i="2"/>
  <c r="D49" i="2"/>
  <c r="B49" i="2"/>
  <c r="A49" i="2"/>
  <c r="E48" i="2"/>
  <c r="D48" i="2"/>
  <c r="B48" i="2"/>
  <c r="A48" i="2"/>
  <c r="E47" i="2"/>
  <c r="D47" i="2"/>
  <c r="B47" i="2"/>
  <c r="A47" i="2"/>
  <c r="E46" i="2"/>
  <c r="D46" i="2"/>
  <c r="B46" i="2"/>
  <c r="A46" i="2"/>
  <c r="E45" i="2"/>
  <c r="D45" i="2"/>
  <c r="B45" i="2"/>
  <c r="A45" i="2"/>
  <c r="E44" i="2"/>
  <c r="D44" i="2"/>
  <c r="B44" i="2"/>
  <c r="A44" i="2"/>
  <c r="E43" i="2"/>
  <c r="D43" i="2"/>
  <c r="B43" i="2"/>
  <c r="A43" i="2"/>
  <c r="E42" i="2"/>
  <c r="D42" i="2"/>
  <c r="B42" i="2"/>
  <c r="A42" i="2"/>
  <c r="E41" i="2"/>
  <c r="D41" i="2"/>
  <c r="B41" i="2"/>
  <c r="A41" i="2"/>
  <c r="E40" i="2"/>
  <c r="D40" i="2"/>
  <c r="B40" i="2"/>
  <c r="A40" i="2"/>
  <c r="E39" i="2"/>
  <c r="D39" i="2"/>
  <c r="B39" i="2"/>
  <c r="A39" i="2"/>
  <c r="E38" i="2"/>
  <c r="D38" i="2"/>
  <c r="B38" i="2"/>
  <c r="A38" i="2"/>
  <c r="E37" i="2"/>
  <c r="D37" i="2"/>
  <c r="B37" i="2"/>
  <c r="A37" i="2"/>
  <c r="E36" i="2"/>
  <c r="D36" i="2"/>
  <c r="B36" i="2"/>
  <c r="A36" i="2"/>
  <c r="E35" i="2"/>
  <c r="D35" i="2"/>
  <c r="B35" i="2"/>
  <c r="A35" i="2"/>
  <c r="E34" i="2"/>
  <c r="D34" i="2"/>
  <c r="B34" i="2"/>
  <c r="A34" i="2"/>
  <c r="E33" i="2"/>
  <c r="D33" i="2"/>
  <c r="B33" i="2"/>
  <c r="A33" i="2"/>
  <c r="E32" i="2"/>
  <c r="D32" i="2"/>
  <c r="B32" i="2"/>
  <c r="A32" i="2"/>
  <c r="E30" i="2"/>
  <c r="D30" i="2"/>
  <c r="B30" i="2"/>
  <c r="A30" i="2"/>
  <c r="E29" i="2"/>
  <c r="D29" i="2"/>
  <c r="B29" i="2"/>
  <c r="A29" i="2"/>
  <c r="E28" i="2"/>
  <c r="D28" i="2"/>
  <c r="B28" i="2"/>
  <c r="A28" i="2"/>
  <c r="E27" i="2"/>
  <c r="D27" i="2"/>
  <c r="B27" i="2"/>
  <c r="A27" i="2"/>
  <c r="E26" i="2"/>
  <c r="D26" i="2"/>
  <c r="B26" i="2"/>
  <c r="A26" i="2"/>
  <c r="E25" i="2"/>
  <c r="D25" i="2"/>
  <c r="B25" i="2"/>
  <c r="A25" i="2"/>
  <c r="E24" i="2"/>
  <c r="D24" i="2"/>
  <c r="B24" i="2"/>
  <c r="A24" i="2"/>
  <c r="E23" i="2"/>
  <c r="D23" i="2"/>
  <c r="B23" i="2"/>
  <c r="A23" i="2"/>
  <c r="E22" i="2"/>
  <c r="D22" i="2"/>
  <c r="B22" i="2"/>
  <c r="A22" i="2"/>
  <c r="E21" i="2"/>
  <c r="D21" i="2"/>
  <c r="B21" i="2"/>
  <c r="A21" i="2"/>
  <c r="E20" i="2"/>
  <c r="D20" i="2"/>
  <c r="B20" i="2"/>
  <c r="A20" i="2"/>
  <c r="E19" i="2"/>
  <c r="D19" i="2"/>
  <c r="B19" i="2"/>
  <c r="A19" i="2"/>
  <c r="E18" i="2"/>
  <c r="D18" i="2"/>
  <c r="B18" i="2"/>
  <c r="A18" i="2"/>
  <c r="E17" i="2"/>
  <c r="D17" i="2"/>
  <c r="B17" i="2"/>
  <c r="A17" i="2"/>
  <c r="E16" i="2"/>
  <c r="D16" i="2"/>
  <c r="B16" i="2"/>
  <c r="A16" i="2"/>
  <c r="E15" i="2"/>
  <c r="D15" i="2"/>
  <c r="B15" i="2"/>
  <c r="A15" i="2"/>
  <c r="E14" i="2"/>
  <c r="D14" i="2"/>
  <c r="B14" i="2"/>
  <c r="A14" i="2"/>
  <c r="E13" i="2"/>
  <c r="D13" i="2"/>
  <c r="B13" i="2"/>
  <c r="A13" i="2"/>
  <c r="E12" i="2"/>
  <c r="D12" i="2"/>
  <c r="B12" i="2"/>
  <c r="A12" i="2"/>
  <c r="E11" i="2"/>
  <c r="D11" i="2"/>
  <c r="B11" i="2"/>
  <c r="A11" i="2"/>
  <c r="E10" i="2"/>
  <c r="D10" i="2"/>
  <c r="B10" i="2"/>
  <c r="A10" i="2"/>
  <c r="E9" i="2"/>
  <c r="D9" i="2"/>
  <c r="B9" i="2"/>
  <c r="A9" i="2"/>
  <c r="E8" i="2"/>
  <c r="D8" i="2"/>
  <c r="B8" i="2"/>
  <c r="A8" i="2"/>
  <c r="E7" i="2"/>
  <c r="D7" i="2"/>
  <c r="B7" i="2"/>
  <c r="A7" i="2"/>
  <c r="E6" i="2"/>
  <c r="D6" i="2"/>
  <c r="B6" i="2"/>
  <c r="A6" i="2"/>
  <c r="E5" i="2"/>
  <c r="D5" i="2"/>
  <c r="B5" i="2"/>
  <c r="A5" i="2"/>
  <c r="E4" i="2"/>
  <c r="D4" i="2"/>
  <c r="B4" i="2"/>
  <c r="A4" i="2"/>
  <c r="E3" i="2"/>
  <c r="D3" i="2"/>
  <c r="B3" i="2"/>
  <c r="A3" i="2"/>
  <c r="D1" i="2"/>
</calcChain>
</file>

<file path=xl/sharedStrings.xml><?xml version="1.0" encoding="utf-8"?>
<sst xmlns="http://schemas.openxmlformats.org/spreadsheetml/2006/main" count="596" uniqueCount="308">
  <si>
    <t>學年</t>
  </si>
  <si>
    <t>第一段</t>
  </si>
  <si>
    <t>數學</t>
  </si>
  <si>
    <t>科摸底成績</t>
  </si>
  <si>
    <t>本校
學籍號</t>
    <phoneticPr fontId="0" type="noConversion"/>
  </si>
  <si>
    <t>學號</t>
    <phoneticPr fontId="0" type="noConversion"/>
  </si>
  <si>
    <t>高三1</t>
    <phoneticPr fontId="0" type="noConversion"/>
  </si>
  <si>
    <t>摸底</t>
  </si>
  <si>
    <t>高三2</t>
    <phoneticPr fontId="0" type="noConversion"/>
  </si>
  <si>
    <t>高三3</t>
    <phoneticPr fontId="0" type="noConversion"/>
  </si>
  <si>
    <t>高三4</t>
    <phoneticPr fontId="0" type="noConversion"/>
  </si>
  <si>
    <t>高三5</t>
    <phoneticPr fontId="0" type="noConversion"/>
  </si>
  <si>
    <t>高三6</t>
    <phoneticPr fontId="0" type="noConversion"/>
  </si>
  <si>
    <t>高三7</t>
    <phoneticPr fontId="0" type="noConversion"/>
  </si>
  <si>
    <t>高三8</t>
    <phoneticPr fontId="0" type="noConversion"/>
  </si>
  <si>
    <t>高三9</t>
    <phoneticPr fontId="0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</si>
  <si>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</si>
  <si>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</si>
  <si>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</si>
  <si>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</si>
  <si>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</si>
  <si>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</si>
  <si>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</si>
  <si>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</si>
  <si>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</si>
  <si>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</si>
  <si>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</si>
  <si>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</si>
  <si>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</si>
  <si>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</si>
  <si>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</si>
  <si>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</si>
  <si>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</si>
  <si>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</si>
  <si>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</si>
  <si>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</si>
  <si>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</si>
  <si>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</si>
  <si>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</si>
  <si>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</si>
  <si>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</si>
  <si>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</si>
  <si>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</si>
  <si>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</si>
  <si>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</si>
  <si>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</si>
  <si>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</si>
  <si>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</si>
  <si>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</si>
  <si>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</si>
  <si>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</si>
  <si>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</si>
  <si>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</si>
  <si>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</si>
  <si>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</si>
  <si>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</si>
  <si>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</si>
  <si>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</si>
  <si>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</si>
  <si>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</si>
  <si>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</si>
  <si>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</si>
  <si>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</si>
  <si>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</si>
  <si>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</si>
  <si>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</si>
  <si>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</si>
  <si>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</si>
  <si>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</si>
  <si>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</si>
  <si>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</si>
  <si>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</si>
  <si>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</si>
  <si>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</si>
  <si>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</si>
  <si>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</si>
  <si>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</si>
  <si>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</si>
  <si>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</si>
  <si>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</si>
  <si>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</si>
  <si>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</si>
  <si>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</si>
  <si>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</si>
  <si>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</si>
  <si>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</si>
  <si>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</si>
  <si>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</si>
  <si>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吳俊君</t>
  </si>
  <si>
    <t>梁嘉軒</t>
  </si>
  <si>
    <t>林翰儒</t>
  </si>
  <si>
    <t>梁咏詩</t>
  </si>
  <si>
    <t>梁啓邦</t>
  </si>
  <si>
    <t>施嘉鑫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</si>
  <si>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</si>
  <si>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</si>
  <si>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</si>
  <si>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</si>
  <si>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</si>
  <si>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</si>
  <si>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</si>
  <si>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</si>
  <si>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</si>
  <si>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</si>
  <si>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</si>
  <si>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</si>
  <si>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</si>
  <si>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</si>
  <si>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</si>
  <si>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</si>
  <si>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</si>
  <si>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</si>
  <si>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</si>
  <si>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</si>
  <si>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</si>
  <si>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</si>
  <si>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</si>
  <si>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</si>
  <si>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</si>
  <si>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</si>
  <si>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</si>
  <si>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</si>
  <si>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</si>
  <si>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</si>
  <si>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</si>
  <si>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</si>
  <si>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</si>
  <si>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</si>
  <si>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</si>
  <si>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</si>
  <si>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</si>
  <si>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</si>
  <si>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</si>
  <si>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</si>
  <si>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</si>
  <si>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</si>
  <si>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</si>
  <si>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</si>
  <si>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</si>
  <si>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</si>
  <si>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</si>
  <si>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</si>
  <si>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</si>
  <si>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</si>
  <si>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</si>
  <si>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</si>
  <si>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</si>
  <si>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</si>
  <si>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</si>
  <si>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</si>
  <si>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</si>
  <si>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</si>
  <si>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</si>
  <si>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</si>
  <si>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</si>
  <si>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</si>
  <si>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</si>
  <si>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</si>
  <si>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</si>
  <si>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</si>
  <si>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</si>
  <si>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</si>
  <si>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</si>
  <si>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</si>
  <si>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</si>
  <si>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</si>
  <si>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</si>
  <si>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</si>
  <si>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</si>
  <si>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</si>
  <si>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</si>
  <si>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</si>
  <si>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</si>
  <si>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</si>
  <si>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</si>
  <si>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</si>
  <si>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</si>
  <si>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</si>
  <si>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</si>
  <si>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</si>
  <si>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</si>
  <si>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</si>
  <si>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</si>
  <si>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</si>
  <si>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</si>
  <si>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</si>
  <si>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</si>
  <si>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</si>
  <si>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</si>
  <si>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</si>
  <si>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</si>
  <si>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</si>
  <si>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</si>
  <si>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</si>
  <si>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</si>
  <si>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</si>
  <si>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</si>
  <si>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</si>
  <si>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</si>
  <si>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</si>
  <si>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</si>
  <si>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</si>
  <si>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</si>
  <si>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</si>
  <si>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</si>
  <si>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</si>
  <si>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</si>
  <si>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</si>
  <si>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</si>
  <si>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</si>
  <si>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</si>
  <si>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</si>
  <si>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</si>
  <si>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</si>
  <si>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</si>
  <si>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</si>
  <si>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</si>
  <si>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</si>
  <si>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</si>
  <si>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</si>
  <si>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</si>
  <si>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</si>
  <si>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</si>
  <si>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</si>
  <si>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</si>
  <si>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</si>
  <si>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</si>
  <si>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</si>
  <si>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</si>
  <si>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</si>
  <si>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</si>
  <si>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黃宇軒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</si>
  <si>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</si>
  <si>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</si>
  <si>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</si>
  <si>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</si>
  <si>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</si>
  <si>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</si>
  <si>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</si>
  <si>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</si>
  <si>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</si>
  <si>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</si>
  <si>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</si>
  <si>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</si>
  <si>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</si>
  <si>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</si>
  <si>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</si>
  <si>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</si>
  <si>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</si>
  <si>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</si>
  <si>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</si>
  <si>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</si>
  <si>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</si>
  <si>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</si>
  <si>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</si>
  <si>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</si>
  <si>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</si>
  <si>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</si>
  <si>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</si>
  <si>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</si>
  <si>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</si>
  <si>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</si>
  <si>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</si>
  <si>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</si>
  <si>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</si>
  <si>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</si>
  <si>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</si>
  <si>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</si>
  <si>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</si>
  <si>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</si>
  <si>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</si>
  <si>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</si>
  <si>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</si>
  <si>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</si>
  <si>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</si>
  <si>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</si>
  <si>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</si>
  <si>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</si>
  <si>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</si>
  <si>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</si>
  <si>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</si>
  <si>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</si>
  <si>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</si>
  <si>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</si>
  <si>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</si>
  <si>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語文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</si>
  <si>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</si>
  <si>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</si>
  <si>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</si>
  <si>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</si>
  <si>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</si>
  <si>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</si>
  <si>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</si>
  <si>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</si>
  <si>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</si>
  <si>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2024學年第一段</t>
  </si>
  <si>
    <t>班級</t>
  </si>
  <si>
    <t>姓名</t>
  </si>
  <si>
    <t>考分</t>
  </si>
  <si>
    <t>高三1</t>
  </si>
  <si>
    <t>高三2</t>
  </si>
  <si>
    <t>高三3</t>
  </si>
  <si>
    <t>高三4</t>
  </si>
  <si>
    <t>高三5</t>
  </si>
  <si>
    <t>高三6</t>
  </si>
  <si>
    <t>高三7</t>
  </si>
  <si>
    <t>高三8</t>
  </si>
  <si>
    <t>高三9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</si>
</sst>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4">
    <font>
      <sz val="12"/>
      <color theme="1"/>
      <name val="新細明體"/>
      <family val="2"/>
      <charset val="136"/>
      <scheme val="minor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1"/>
      <charset val="136"/>
    </font>
    <font>
      <sz val="1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5">
    <xf numFmtId="0" fontId="0" fillId="0" borderId="0"/>
    <xf numFmtId="0" fontId="6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0" fillId="0" borderId="0">
      <alignment vertical="center"/>
    </xf>
  </cellStyleXfs>
  <cellXfs count="41">
    <xf numFmtId="0" fontId="0" fillId="0" borderId="0" xfId="0"/>
    <xf numFmtId="164" fontId="1" fillId="0" borderId="1" xfId="0" applyNumberFormat="1" applyFont="1" applyBorder="1" applyAlignment="1">
      <alignment horizontal="right" vertical="distributed"/>
    </xf>
    <xf numFmtId="164" fontId="1" fillId="0" borderId="1" xfId="0" applyNumberFormat="1" applyFont="1" applyBorder="1" applyAlignment="1">
      <alignment vertical="distributed"/>
    </xf>
    <xf numFmtId="164" fontId="1" fillId="0" borderId="1" xfId="0" applyNumberFormat="1" applyFont="1" applyBorder="1" applyAlignment="1">
      <alignment horizontal="center" vertical="distributed"/>
    </xf>
    <xf numFmtId="0" fontId="2" fillId="0" borderId="0" xfId="0" applyFont="1" applyAlignment="1">
      <alignment horizontal="center" vertical="distributed"/>
    </xf>
    <xf numFmtId="164" fontId="1" fillId="0" borderId="1" xfId="0" applyNumberFormat="1" applyFont="1" applyBorder="1" applyAlignment="1">
      <alignment horizontal="left" vertical="distributed"/>
    </xf>
    <xf numFmtId="164" fontId="1" fillId="0" borderId="0" xfId="0" applyNumberFormat="1" applyFont="1" applyAlignment="1">
      <alignment vertical="distributed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distributed"/>
    </xf>
    <xf numFmtId="164" fontId="5" fillId="0" borderId="2" xfId="0" applyNumberFormat="1" applyFont="1" applyBorder="1" applyAlignment="1">
      <alignment horizontal="center" vertical="distributed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distributed"/>
    </xf>
    <xf numFmtId="0" fontId="5" fillId="0" borderId="2" xfId="0" applyFont="1" applyBorder="1" applyAlignment="1">
      <alignment horizontal="center" vertical="distributed"/>
    </xf>
    <xf numFmtId="0" fontId="5" fillId="0" borderId="3" xfId="0" applyFont="1" applyBorder="1" applyAlignment="1">
      <alignment horizontal="center" vertical="distributed"/>
    </xf>
    <xf numFmtId="0" fontId="5" fillId="0" borderId="0" xfId="0" applyFont="1" applyAlignment="1">
      <alignment horizontal="center" vertical="distributed"/>
    </xf>
    <xf numFmtId="0" fontId="7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distributed"/>
    </xf>
    <xf numFmtId="0" fontId="5" fillId="0" borderId="6" xfId="0" applyFont="1" applyBorder="1" applyAlignment="1">
      <alignment horizontal="center" vertical="distributed"/>
    </xf>
    <xf numFmtId="0" fontId="4" fillId="0" borderId="0" xfId="0" applyFont="1" applyAlignment="1">
      <alignment horizontal="center" vertical="distributed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distributed"/>
    </xf>
    <xf numFmtId="164" fontId="4" fillId="0" borderId="0" xfId="0" applyNumberFormat="1" applyFont="1" applyAlignment="1">
      <alignment horizontal="center" vertical="distributed"/>
    </xf>
    <xf numFmtId="164" fontId="5" fillId="0" borderId="0" xfId="0" applyNumberFormat="1" applyFont="1" applyAlignment="1">
      <alignment horizontal="center" vertical="distributed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 vertical="distributed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readingOrder="1"/>
    </xf>
    <xf numFmtId="0" fontId="12" fillId="0" borderId="0" xfId="0" applyFont="1" applyAlignment="1">
      <alignment horizontal="center" vertical="center" readingOrder="1"/>
    </xf>
    <xf numFmtId="0" fontId="13" fillId="0" borderId="4" xfId="0" applyFont="1" applyBorder="1" applyAlignment="1">
      <alignment horizontal="center" vertical="center"/>
    </xf>
  </cellXfs>
  <cellStyles count="5">
    <cellStyle name="一般" xfId="0" builtinId="0"/>
    <cellStyle name="一般 10" xfId="3" xr:uid="{171923B3-57CB-4F8C-A289-091AD7BF5921}"/>
    <cellStyle name="一般 16" xfId="2" xr:uid="{1875D3DA-78B5-4415-B3C9-63EAB2D013BA}"/>
    <cellStyle name="一般 17" xfId="4" xr:uid="{BE32C880-2B62-4DF0-82B5-E2BA7E7A792D}"/>
    <cellStyle name="一般 3" xfId="1" xr:uid="{4C4AEF39-74FE-45D5-A0CE-E61D3BA274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228600</xdr:rowOff>
    </xdr:from>
    <xdr:to>
      <xdr:col>3</xdr:col>
      <xdr:colOff>19050</xdr:colOff>
      <xdr:row>8</xdr:row>
      <xdr:rowOff>9525</xdr:rowOff>
    </xdr:to>
    <xdr:sp macro="" textlink="">
      <xdr:nvSpPr>
        <xdr:cNvPr id="2" name="Line 56">
          <a:extLst>
            <a:ext uri="{FF2B5EF4-FFF2-40B4-BE49-F238E27FC236}">
              <a16:creationId xmlns:a16="http://schemas.microsoft.com/office/drawing/2014/main" id="{42FEE95D-CE50-4EFB-84FF-3850C605667F}"/>
            </a:ext>
          </a:extLst>
        </xdr:cNvPr>
        <xdr:cNvSpPr>
          <a:spLocks noChangeShapeType="1"/>
        </xdr:cNvSpPr>
      </xdr:nvSpPr>
      <xdr:spPr bwMode="auto">
        <a:xfrm flipH="1" flipV="1">
          <a:off x="762000" y="2162175"/>
          <a:ext cx="6477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12</xdr:row>
      <xdr:rowOff>228600</xdr:rowOff>
    </xdr:from>
    <xdr:to>
      <xdr:col>3</xdr:col>
      <xdr:colOff>19050</xdr:colOff>
      <xdr:row>13</xdr:row>
      <xdr:rowOff>9525</xdr:rowOff>
    </xdr:to>
    <xdr:sp macro="" textlink="">
      <xdr:nvSpPr>
        <xdr:cNvPr id="3" name="Line 57">
          <a:extLst>
            <a:ext uri="{FF2B5EF4-FFF2-40B4-BE49-F238E27FC236}">
              <a16:creationId xmlns:a16="http://schemas.microsoft.com/office/drawing/2014/main" id="{0472E440-E6AC-4366-840F-892DDD5B814C}"/>
            </a:ext>
          </a:extLst>
        </xdr:cNvPr>
        <xdr:cNvSpPr>
          <a:spLocks noChangeShapeType="1"/>
        </xdr:cNvSpPr>
      </xdr:nvSpPr>
      <xdr:spPr bwMode="auto">
        <a:xfrm flipH="1" flipV="1">
          <a:off x="762000" y="3400425"/>
          <a:ext cx="6477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22</xdr:row>
      <xdr:rowOff>228600</xdr:rowOff>
    </xdr:from>
    <xdr:to>
      <xdr:col>3</xdr:col>
      <xdr:colOff>19050</xdr:colOff>
      <xdr:row>23</xdr:row>
      <xdr:rowOff>9525</xdr:rowOff>
    </xdr:to>
    <xdr:sp macro="" textlink="">
      <xdr:nvSpPr>
        <xdr:cNvPr id="4" name="Line 59">
          <a:extLst>
            <a:ext uri="{FF2B5EF4-FFF2-40B4-BE49-F238E27FC236}">
              <a16:creationId xmlns:a16="http://schemas.microsoft.com/office/drawing/2014/main" id="{D4833A99-6D90-41AE-8924-E23E29BDF9DA}"/>
            </a:ext>
          </a:extLst>
        </xdr:cNvPr>
        <xdr:cNvSpPr>
          <a:spLocks noChangeShapeType="1"/>
        </xdr:cNvSpPr>
      </xdr:nvSpPr>
      <xdr:spPr bwMode="auto">
        <a:xfrm flipH="1" flipV="1">
          <a:off x="762000" y="5876925"/>
          <a:ext cx="6477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27</xdr:row>
      <xdr:rowOff>228600</xdr:rowOff>
    </xdr:from>
    <xdr:to>
      <xdr:col>3</xdr:col>
      <xdr:colOff>19050</xdr:colOff>
      <xdr:row>28</xdr:row>
      <xdr:rowOff>9525</xdr:rowOff>
    </xdr:to>
    <xdr:sp macro="" textlink="">
      <xdr:nvSpPr>
        <xdr:cNvPr id="5" name="Line 60">
          <a:extLst>
            <a:ext uri="{FF2B5EF4-FFF2-40B4-BE49-F238E27FC236}">
              <a16:creationId xmlns:a16="http://schemas.microsoft.com/office/drawing/2014/main" id="{3B5EDB77-15CA-4D34-AAFB-9D962CBAA733}"/>
            </a:ext>
          </a:extLst>
        </xdr:cNvPr>
        <xdr:cNvSpPr>
          <a:spLocks noChangeShapeType="1"/>
        </xdr:cNvSpPr>
      </xdr:nvSpPr>
      <xdr:spPr bwMode="auto">
        <a:xfrm flipH="1" flipV="1">
          <a:off x="762000" y="7115175"/>
          <a:ext cx="6477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7</xdr:row>
      <xdr:rowOff>228600</xdr:rowOff>
    </xdr:from>
    <xdr:to>
      <xdr:col>3</xdr:col>
      <xdr:colOff>19050</xdr:colOff>
      <xdr:row>8</xdr:row>
      <xdr:rowOff>9525</xdr:rowOff>
    </xdr:to>
    <xdr:sp macro="" textlink="">
      <xdr:nvSpPr>
        <xdr:cNvPr id="6" name="Line 49">
          <a:extLst>
            <a:ext uri="{FF2B5EF4-FFF2-40B4-BE49-F238E27FC236}">
              <a16:creationId xmlns:a16="http://schemas.microsoft.com/office/drawing/2014/main" id="{A43D7A0C-AC32-4839-9232-A04064B31C5E}"/>
            </a:ext>
          </a:extLst>
        </xdr:cNvPr>
        <xdr:cNvSpPr>
          <a:spLocks noChangeShapeType="1"/>
        </xdr:cNvSpPr>
      </xdr:nvSpPr>
      <xdr:spPr bwMode="auto">
        <a:xfrm flipH="1" flipV="1">
          <a:off x="762000" y="2162175"/>
          <a:ext cx="64770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12</xdr:row>
      <xdr:rowOff>228600</xdr:rowOff>
    </xdr:from>
    <xdr:to>
      <xdr:col>3</xdr:col>
      <xdr:colOff>19050</xdr:colOff>
      <xdr:row>13</xdr:row>
      <xdr:rowOff>9525</xdr:rowOff>
    </xdr:to>
    <xdr:sp macro="" textlink="">
      <xdr:nvSpPr>
        <xdr:cNvPr id="7" name="Line 50">
          <a:extLst>
            <a:ext uri="{FF2B5EF4-FFF2-40B4-BE49-F238E27FC236}">
              <a16:creationId xmlns:a16="http://schemas.microsoft.com/office/drawing/2014/main" id="{A0A9198F-B529-4CC2-BC14-4B0C8F469FE2}"/>
            </a:ext>
          </a:extLst>
        </xdr:cNvPr>
        <xdr:cNvSpPr>
          <a:spLocks noChangeShapeType="1"/>
        </xdr:cNvSpPr>
      </xdr:nvSpPr>
      <xdr:spPr bwMode="auto">
        <a:xfrm flipH="1" flipV="1">
          <a:off x="762000" y="3400425"/>
          <a:ext cx="64770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17</xdr:row>
      <xdr:rowOff>228600</xdr:rowOff>
    </xdr:from>
    <xdr:to>
      <xdr:col>3</xdr:col>
      <xdr:colOff>19050</xdr:colOff>
      <xdr:row>18</xdr:row>
      <xdr:rowOff>9525</xdr:rowOff>
    </xdr:to>
    <xdr:sp macro="" textlink="">
      <xdr:nvSpPr>
        <xdr:cNvPr id="8" name="Line 51">
          <a:extLst>
            <a:ext uri="{FF2B5EF4-FFF2-40B4-BE49-F238E27FC236}">
              <a16:creationId xmlns:a16="http://schemas.microsoft.com/office/drawing/2014/main" id="{3F9DC9DA-0308-472F-9065-744680C43CED}"/>
            </a:ext>
          </a:extLst>
        </xdr:cNvPr>
        <xdr:cNvSpPr>
          <a:spLocks noChangeShapeType="1"/>
        </xdr:cNvSpPr>
      </xdr:nvSpPr>
      <xdr:spPr bwMode="auto">
        <a:xfrm flipH="1" flipV="1">
          <a:off x="762000" y="4638675"/>
          <a:ext cx="64770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22</xdr:row>
      <xdr:rowOff>228600</xdr:rowOff>
    </xdr:from>
    <xdr:to>
      <xdr:col>3</xdr:col>
      <xdr:colOff>19050</xdr:colOff>
      <xdr:row>23</xdr:row>
      <xdr:rowOff>9525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1A1EDCC-3693-4F92-9386-DF951895E5C0}"/>
            </a:ext>
          </a:extLst>
        </xdr:cNvPr>
        <xdr:cNvSpPr>
          <a:spLocks noChangeShapeType="1"/>
        </xdr:cNvSpPr>
      </xdr:nvSpPr>
      <xdr:spPr bwMode="auto">
        <a:xfrm flipH="1" flipV="1">
          <a:off x="762000" y="5876925"/>
          <a:ext cx="64770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27</xdr:row>
      <xdr:rowOff>228600</xdr:rowOff>
    </xdr:from>
    <xdr:to>
      <xdr:col>3</xdr:col>
      <xdr:colOff>19050</xdr:colOff>
      <xdr:row>28</xdr:row>
      <xdr:rowOff>9525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766830A-5993-474E-ADD0-91CCA50D9202}"/>
            </a:ext>
          </a:extLst>
        </xdr:cNvPr>
        <xdr:cNvSpPr>
          <a:spLocks noChangeShapeType="1"/>
        </xdr:cNvSpPr>
      </xdr:nvSpPr>
      <xdr:spPr bwMode="auto">
        <a:xfrm flipH="1" flipV="1">
          <a:off x="762000" y="7115175"/>
          <a:ext cx="64770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11" name="Line 34">
          <a:extLst>
            <a:ext uri="{FF2B5EF4-FFF2-40B4-BE49-F238E27FC236}">
              <a16:creationId xmlns:a16="http://schemas.microsoft.com/office/drawing/2014/main" id="{2AE109A6-44FC-47AA-9010-509193D63AA7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12" name="Line 35">
          <a:extLst>
            <a:ext uri="{FF2B5EF4-FFF2-40B4-BE49-F238E27FC236}">
              <a16:creationId xmlns:a16="http://schemas.microsoft.com/office/drawing/2014/main" id="{80410FDB-D36C-464B-A554-847E93F2B642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13" name="Line 36">
          <a:extLst>
            <a:ext uri="{FF2B5EF4-FFF2-40B4-BE49-F238E27FC236}">
              <a16:creationId xmlns:a16="http://schemas.microsoft.com/office/drawing/2014/main" id="{258B1278-2BB9-461C-8EAE-9741263611BB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14" name="Line 301">
          <a:extLst>
            <a:ext uri="{FF2B5EF4-FFF2-40B4-BE49-F238E27FC236}">
              <a16:creationId xmlns:a16="http://schemas.microsoft.com/office/drawing/2014/main" id="{AB3B095D-8E9D-40F5-BFE7-8739EAF865E6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15" name="Line 302">
          <a:extLst>
            <a:ext uri="{FF2B5EF4-FFF2-40B4-BE49-F238E27FC236}">
              <a16:creationId xmlns:a16="http://schemas.microsoft.com/office/drawing/2014/main" id="{D7ED5044-9518-47A7-833E-F1F0CB0C6DAD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16" name="Line 303">
          <a:extLst>
            <a:ext uri="{FF2B5EF4-FFF2-40B4-BE49-F238E27FC236}">
              <a16:creationId xmlns:a16="http://schemas.microsoft.com/office/drawing/2014/main" id="{516A6046-1E3B-4BEB-9A4B-CE36DE329A9C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17" name="Line 34">
          <a:extLst>
            <a:ext uri="{FF2B5EF4-FFF2-40B4-BE49-F238E27FC236}">
              <a16:creationId xmlns:a16="http://schemas.microsoft.com/office/drawing/2014/main" id="{FAB84793-DD81-4E7F-886A-9B30B7DB3B9E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18" name="Line 35">
          <a:extLst>
            <a:ext uri="{FF2B5EF4-FFF2-40B4-BE49-F238E27FC236}">
              <a16:creationId xmlns:a16="http://schemas.microsoft.com/office/drawing/2014/main" id="{30E7C10D-5DB2-4960-80F4-5BEEF0A31DF1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19" name="Line 36">
          <a:extLst>
            <a:ext uri="{FF2B5EF4-FFF2-40B4-BE49-F238E27FC236}">
              <a16:creationId xmlns:a16="http://schemas.microsoft.com/office/drawing/2014/main" id="{DA8BE0A8-4145-45E8-90C9-6FDA07AC24ED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20" name="Line 301">
          <a:extLst>
            <a:ext uri="{FF2B5EF4-FFF2-40B4-BE49-F238E27FC236}">
              <a16:creationId xmlns:a16="http://schemas.microsoft.com/office/drawing/2014/main" id="{A45F4D98-E20C-4EC5-AA9D-9718D0570BDD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21" name="Line 302">
          <a:extLst>
            <a:ext uri="{FF2B5EF4-FFF2-40B4-BE49-F238E27FC236}">
              <a16:creationId xmlns:a16="http://schemas.microsoft.com/office/drawing/2014/main" id="{16D8B511-EAAD-44E3-BED9-56CCD4B3CDDE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22" name="Line 303">
          <a:extLst>
            <a:ext uri="{FF2B5EF4-FFF2-40B4-BE49-F238E27FC236}">
              <a16:creationId xmlns:a16="http://schemas.microsoft.com/office/drawing/2014/main" id="{2C72015E-7684-4BFD-8941-8E47D8DDE683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23" name="Line 34">
          <a:extLst>
            <a:ext uri="{FF2B5EF4-FFF2-40B4-BE49-F238E27FC236}">
              <a16:creationId xmlns:a16="http://schemas.microsoft.com/office/drawing/2014/main" id="{3C42A97F-4A3E-47F0-911A-329427D3AD51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24" name="Line 35">
          <a:extLst>
            <a:ext uri="{FF2B5EF4-FFF2-40B4-BE49-F238E27FC236}">
              <a16:creationId xmlns:a16="http://schemas.microsoft.com/office/drawing/2014/main" id="{4789B050-7306-4352-93D8-E9AEE6E0A395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25" name="Line 36">
          <a:extLst>
            <a:ext uri="{FF2B5EF4-FFF2-40B4-BE49-F238E27FC236}">
              <a16:creationId xmlns:a16="http://schemas.microsoft.com/office/drawing/2014/main" id="{CF4180F1-25F6-4677-8218-EE42580A0B3E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26" name="Line 301">
          <a:extLst>
            <a:ext uri="{FF2B5EF4-FFF2-40B4-BE49-F238E27FC236}">
              <a16:creationId xmlns:a16="http://schemas.microsoft.com/office/drawing/2014/main" id="{A787AD4F-03B8-4322-BFC0-ECD717D69EDA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27" name="Line 302">
          <a:extLst>
            <a:ext uri="{FF2B5EF4-FFF2-40B4-BE49-F238E27FC236}">
              <a16:creationId xmlns:a16="http://schemas.microsoft.com/office/drawing/2014/main" id="{8BC07532-1434-4122-AFFB-32AB9B5CD8B6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28" name="Line 303">
          <a:extLst>
            <a:ext uri="{FF2B5EF4-FFF2-40B4-BE49-F238E27FC236}">
              <a16:creationId xmlns:a16="http://schemas.microsoft.com/office/drawing/2014/main" id="{1D4ADDD4-493A-481E-A8A9-D7B3616357E1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29" name="Line 34">
          <a:extLst>
            <a:ext uri="{FF2B5EF4-FFF2-40B4-BE49-F238E27FC236}">
              <a16:creationId xmlns:a16="http://schemas.microsoft.com/office/drawing/2014/main" id="{532751E1-744E-4FCC-B3BE-629CBCA02DD4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30" name="Line 35">
          <a:extLst>
            <a:ext uri="{FF2B5EF4-FFF2-40B4-BE49-F238E27FC236}">
              <a16:creationId xmlns:a16="http://schemas.microsoft.com/office/drawing/2014/main" id="{8469061F-BB05-4FF4-99E7-3F95458DEE07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31" name="Line 36">
          <a:extLst>
            <a:ext uri="{FF2B5EF4-FFF2-40B4-BE49-F238E27FC236}">
              <a16:creationId xmlns:a16="http://schemas.microsoft.com/office/drawing/2014/main" id="{36C58C9B-E121-48E9-BB93-27830EAB10DC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32" name="Line 301">
          <a:extLst>
            <a:ext uri="{FF2B5EF4-FFF2-40B4-BE49-F238E27FC236}">
              <a16:creationId xmlns:a16="http://schemas.microsoft.com/office/drawing/2014/main" id="{8C5E455C-A2B5-4845-B2A6-2A49C03C5775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33" name="Line 302">
          <a:extLst>
            <a:ext uri="{FF2B5EF4-FFF2-40B4-BE49-F238E27FC236}">
              <a16:creationId xmlns:a16="http://schemas.microsoft.com/office/drawing/2014/main" id="{EE6FA40C-C7F0-4F0D-B70D-0BC13C0839F9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34" name="Line 303">
          <a:extLst>
            <a:ext uri="{FF2B5EF4-FFF2-40B4-BE49-F238E27FC236}">
              <a16:creationId xmlns:a16="http://schemas.microsoft.com/office/drawing/2014/main" id="{4380CCE3-2C8E-4D46-8ED1-2C2FD113F0BA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ED3BE612-9E52-4B50-BFB5-C7A2D625D3D1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51EABDFB-6F7F-4172-B754-7CE022B8F47A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F8C92716-D2A1-4743-8C39-BA48D9EF4393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38" name="Line 301">
          <a:extLst>
            <a:ext uri="{FF2B5EF4-FFF2-40B4-BE49-F238E27FC236}">
              <a16:creationId xmlns:a16="http://schemas.microsoft.com/office/drawing/2014/main" id="{FABC960E-9998-4E8C-B06B-8C99BFE9C718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39" name="Line 302">
          <a:extLst>
            <a:ext uri="{FF2B5EF4-FFF2-40B4-BE49-F238E27FC236}">
              <a16:creationId xmlns:a16="http://schemas.microsoft.com/office/drawing/2014/main" id="{B01F9560-EC62-4B5D-AA16-CD10C3A167CB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40" name="Line 303">
          <a:extLst>
            <a:ext uri="{FF2B5EF4-FFF2-40B4-BE49-F238E27FC236}">
              <a16:creationId xmlns:a16="http://schemas.microsoft.com/office/drawing/2014/main" id="{1E81EEC4-8FD6-4A84-B1D1-2DE280A1B3D2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41" name="Line 34">
          <a:extLst>
            <a:ext uri="{FF2B5EF4-FFF2-40B4-BE49-F238E27FC236}">
              <a16:creationId xmlns:a16="http://schemas.microsoft.com/office/drawing/2014/main" id="{EC7724AB-9831-4425-8D2F-2BC4E78BAA01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42" name="Line 35">
          <a:extLst>
            <a:ext uri="{FF2B5EF4-FFF2-40B4-BE49-F238E27FC236}">
              <a16:creationId xmlns:a16="http://schemas.microsoft.com/office/drawing/2014/main" id="{16F324FA-45FF-4776-8F00-005DA4E995D8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43" name="Line 36">
          <a:extLst>
            <a:ext uri="{FF2B5EF4-FFF2-40B4-BE49-F238E27FC236}">
              <a16:creationId xmlns:a16="http://schemas.microsoft.com/office/drawing/2014/main" id="{2AF2FCC8-237F-43BB-8BA3-38CA9D043CAB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44" name="Line 301">
          <a:extLst>
            <a:ext uri="{FF2B5EF4-FFF2-40B4-BE49-F238E27FC236}">
              <a16:creationId xmlns:a16="http://schemas.microsoft.com/office/drawing/2014/main" id="{287E1843-6C8D-4936-A6C5-67C3BDAC83BC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45" name="Line 302">
          <a:extLst>
            <a:ext uri="{FF2B5EF4-FFF2-40B4-BE49-F238E27FC236}">
              <a16:creationId xmlns:a16="http://schemas.microsoft.com/office/drawing/2014/main" id="{8C2DA02C-4734-4FB1-A2B2-B418A95D79B3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46" name="Line 303">
          <a:extLst>
            <a:ext uri="{FF2B5EF4-FFF2-40B4-BE49-F238E27FC236}">
              <a16:creationId xmlns:a16="http://schemas.microsoft.com/office/drawing/2014/main" id="{86F8D878-D618-4E36-AA00-EE1F4CAA4AF9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47" name="Line 34">
          <a:extLst>
            <a:ext uri="{FF2B5EF4-FFF2-40B4-BE49-F238E27FC236}">
              <a16:creationId xmlns:a16="http://schemas.microsoft.com/office/drawing/2014/main" id="{AE5CE73D-9B24-4817-9DC3-0ADAEFBFA143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48" name="Line 35">
          <a:extLst>
            <a:ext uri="{FF2B5EF4-FFF2-40B4-BE49-F238E27FC236}">
              <a16:creationId xmlns:a16="http://schemas.microsoft.com/office/drawing/2014/main" id="{0EE7D7CE-497F-40D6-87DE-645FA1393B75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49" name="Line 36">
          <a:extLst>
            <a:ext uri="{FF2B5EF4-FFF2-40B4-BE49-F238E27FC236}">
              <a16:creationId xmlns:a16="http://schemas.microsoft.com/office/drawing/2014/main" id="{B160E777-9199-41AC-96AD-49F004C0831C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50" name="Line 301">
          <a:extLst>
            <a:ext uri="{FF2B5EF4-FFF2-40B4-BE49-F238E27FC236}">
              <a16:creationId xmlns:a16="http://schemas.microsoft.com/office/drawing/2014/main" id="{F2A14B1F-6447-4134-AD28-63E6FD6DBADF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51" name="Line 302">
          <a:extLst>
            <a:ext uri="{FF2B5EF4-FFF2-40B4-BE49-F238E27FC236}">
              <a16:creationId xmlns:a16="http://schemas.microsoft.com/office/drawing/2014/main" id="{B956AAB9-1C55-4B09-B63E-3F84B786DC79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52" name="Line 303">
          <a:extLst>
            <a:ext uri="{FF2B5EF4-FFF2-40B4-BE49-F238E27FC236}">
              <a16:creationId xmlns:a16="http://schemas.microsoft.com/office/drawing/2014/main" id="{2398EB6D-C6A2-432B-BB62-12F2A1658AB6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53" name="Line 34">
          <a:extLst>
            <a:ext uri="{FF2B5EF4-FFF2-40B4-BE49-F238E27FC236}">
              <a16:creationId xmlns:a16="http://schemas.microsoft.com/office/drawing/2014/main" id="{B04B18F9-616B-42CD-AF61-ED8375D2EEBB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54" name="Line 35">
          <a:extLst>
            <a:ext uri="{FF2B5EF4-FFF2-40B4-BE49-F238E27FC236}">
              <a16:creationId xmlns:a16="http://schemas.microsoft.com/office/drawing/2014/main" id="{5AC73B89-4810-44F4-B801-62FCF030FF9D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55" name="Line 36">
          <a:extLst>
            <a:ext uri="{FF2B5EF4-FFF2-40B4-BE49-F238E27FC236}">
              <a16:creationId xmlns:a16="http://schemas.microsoft.com/office/drawing/2014/main" id="{F3812C10-939E-4747-BDE4-B45118644C46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56" name="Line 301">
          <a:extLst>
            <a:ext uri="{FF2B5EF4-FFF2-40B4-BE49-F238E27FC236}">
              <a16:creationId xmlns:a16="http://schemas.microsoft.com/office/drawing/2014/main" id="{2F1B834F-0D4E-4D48-B684-C5B0856E9BDD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57" name="Line 302">
          <a:extLst>
            <a:ext uri="{FF2B5EF4-FFF2-40B4-BE49-F238E27FC236}">
              <a16:creationId xmlns:a16="http://schemas.microsoft.com/office/drawing/2014/main" id="{DEC0676F-EE49-4E09-8426-538733160594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</xdr:row>
      <xdr:rowOff>228600</xdr:rowOff>
    </xdr:from>
    <xdr:to>
      <xdr:col>3</xdr:col>
      <xdr:colOff>19050</xdr:colOff>
      <xdr:row>3</xdr:row>
      <xdr:rowOff>9525</xdr:rowOff>
    </xdr:to>
    <xdr:sp macro="" textlink="">
      <xdr:nvSpPr>
        <xdr:cNvPr id="58" name="Line 303">
          <a:extLst>
            <a:ext uri="{FF2B5EF4-FFF2-40B4-BE49-F238E27FC236}">
              <a16:creationId xmlns:a16="http://schemas.microsoft.com/office/drawing/2014/main" id="{3A7B2179-0878-4192-998D-E75AB81FF518}"/>
            </a:ext>
          </a:extLst>
        </xdr:cNvPr>
        <xdr:cNvSpPr>
          <a:spLocks noChangeShapeType="1"/>
        </xdr:cNvSpPr>
      </xdr:nvSpPr>
      <xdr:spPr bwMode="auto">
        <a:xfrm flipH="1" flipV="1">
          <a:off x="7620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59" name="Line 34">
          <a:extLst>
            <a:ext uri="{FF2B5EF4-FFF2-40B4-BE49-F238E27FC236}">
              <a16:creationId xmlns:a16="http://schemas.microsoft.com/office/drawing/2014/main" id="{DBAC31C8-5B53-4C06-B64E-63777DD04042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60" name="Line 35">
          <a:extLst>
            <a:ext uri="{FF2B5EF4-FFF2-40B4-BE49-F238E27FC236}">
              <a16:creationId xmlns:a16="http://schemas.microsoft.com/office/drawing/2014/main" id="{C7CC6171-B8F3-4A70-A984-2080ADF9812C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61" name="Line 36">
          <a:extLst>
            <a:ext uri="{FF2B5EF4-FFF2-40B4-BE49-F238E27FC236}">
              <a16:creationId xmlns:a16="http://schemas.microsoft.com/office/drawing/2014/main" id="{2A356263-5080-45C5-895C-E474F23949CA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62" name="Line 301">
          <a:extLst>
            <a:ext uri="{FF2B5EF4-FFF2-40B4-BE49-F238E27FC236}">
              <a16:creationId xmlns:a16="http://schemas.microsoft.com/office/drawing/2014/main" id="{8B7579EB-26EF-46EB-B6A1-6B18260CD99F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63" name="Line 302">
          <a:extLst>
            <a:ext uri="{FF2B5EF4-FFF2-40B4-BE49-F238E27FC236}">
              <a16:creationId xmlns:a16="http://schemas.microsoft.com/office/drawing/2014/main" id="{51FED1EF-A4F1-48F8-9C40-CD9AA19A2488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64" name="Line 303">
          <a:extLst>
            <a:ext uri="{FF2B5EF4-FFF2-40B4-BE49-F238E27FC236}">
              <a16:creationId xmlns:a16="http://schemas.microsoft.com/office/drawing/2014/main" id="{F3250B93-FF01-4F7B-9A6E-C0A0796582AA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65" name="Line 34">
          <a:extLst>
            <a:ext uri="{FF2B5EF4-FFF2-40B4-BE49-F238E27FC236}">
              <a16:creationId xmlns:a16="http://schemas.microsoft.com/office/drawing/2014/main" id="{60726F47-02AC-4C06-8F38-1F895AB39247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66" name="Line 35">
          <a:extLst>
            <a:ext uri="{FF2B5EF4-FFF2-40B4-BE49-F238E27FC236}">
              <a16:creationId xmlns:a16="http://schemas.microsoft.com/office/drawing/2014/main" id="{5BF15DEF-383C-45F2-A8FC-80EEA7C8BEDC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67" name="Line 36">
          <a:extLst>
            <a:ext uri="{FF2B5EF4-FFF2-40B4-BE49-F238E27FC236}">
              <a16:creationId xmlns:a16="http://schemas.microsoft.com/office/drawing/2014/main" id="{142F6696-CEC3-4B46-8D64-88019A589641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68" name="Line 301">
          <a:extLst>
            <a:ext uri="{FF2B5EF4-FFF2-40B4-BE49-F238E27FC236}">
              <a16:creationId xmlns:a16="http://schemas.microsoft.com/office/drawing/2014/main" id="{99136482-2BCE-4B89-8D48-D62FC8F416E8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69" name="Line 302">
          <a:extLst>
            <a:ext uri="{FF2B5EF4-FFF2-40B4-BE49-F238E27FC236}">
              <a16:creationId xmlns:a16="http://schemas.microsoft.com/office/drawing/2014/main" id="{DA1870D4-CD76-4BF3-805E-DABE8BCA8D22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70" name="Line 303">
          <a:extLst>
            <a:ext uri="{FF2B5EF4-FFF2-40B4-BE49-F238E27FC236}">
              <a16:creationId xmlns:a16="http://schemas.microsoft.com/office/drawing/2014/main" id="{0EA43122-B5E5-4384-8D17-D8BB86FE387B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71" name="Line 34">
          <a:extLst>
            <a:ext uri="{FF2B5EF4-FFF2-40B4-BE49-F238E27FC236}">
              <a16:creationId xmlns:a16="http://schemas.microsoft.com/office/drawing/2014/main" id="{D9E882D1-7E01-4391-92A2-A8F065E54046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72" name="Line 35">
          <a:extLst>
            <a:ext uri="{FF2B5EF4-FFF2-40B4-BE49-F238E27FC236}">
              <a16:creationId xmlns:a16="http://schemas.microsoft.com/office/drawing/2014/main" id="{B76F911C-F984-4057-A2B4-7E9164F3A11C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73" name="Line 36">
          <a:extLst>
            <a:ext uri="{FF2B5EF4-FFF2-40B4-BE49-F238E27FC236}">
              <a16:creationId xmlns:a16="http://schemas.microsoft.com/office/drawing/2014/main" id="{9921660B-702C-411D-A584-0713A70A1A3F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74" name="Line 301">
          <a:extLst>
            <a:ext uri="{FF2B5EF4-FFF2-40B4-BE49-F238E27FC236}">
              <a16:creationId xmlns:a16="http://schemas.microsoft.com/office/drawing/2014/main" id="{F2EE6B67-773D-4F7D-90E3-AA8A50B858DA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75" name="Line 302">
          <a:extLst>
            <a:ext uri="{FF2B5EF4-FFF2-40B4-BE49-F238E27FC236}">
              <a16:creationId xmlns:a16="http://schemas.microsoft.com/office/drawing/2014/main" id="{5DE83021-FB8B-438F-9A1A-7499BF37C694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76" name="Line 303">
          <a:extLst>
            <a:ext uri="{FF2B5EF4-FFF2-40B4-BE49-F238E27FC236}">
              <a16:creationId xmlns:a16="http://schemas.microsoft.com/office/drawing/2014/main" id="{659B0E77-A6B5-422E-8CAF-087FD6C22471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77" name="Line 34">
          <a:extLst>
            <a:ext uri="{FF2B5EF4-FFF2-40B4-BE49-F238E27FC236}">
              <a16:creationId xmlns:a16="http://schemas.microsoft.com/office/drawing/2014/main" id="{4B27A0EC-A7F1-4CA8-9AB2-5105F49BECDD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78" name="Line 35">
          <a:extLst>
            <a:ext uri="{FF2B5EF4-FFF2-40B4-BE49-F238E27FC236}">
              <a16:creationId xmlns:a16="http://schemas.microsoft.com/office/drawing/2014/main" id="{E3B46A9D-1CAD-4940-8EA6-F11033B9C076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79" name="Line 36">
          <a:extLst>
            <a:ext uri="{FF2B5EF4-FFF2-40B4-BE49-F238E27FC236}">
              <a16:creationId xmlns:a16="http://schemas.microsoft.com/office/drawing/2014/main" id="{8566BC51-18F5-46A0-BD0A-3A857161494D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80" name="Line 301">
          <a:extLst>
            <a:ext uri="{FF2B5EF4-FFF2-40B4-BE49-F238E27FC236}">
              <a16:creationId xmlns:a16="http://schemas.microsoft.com/office/drawing/2014/main" id="{E455F5AB-7941-43FF-B0E0-FFDB9BB06081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81" name="Line 302">
          <a:extLst>
            <a:ext uri="{FF2B5EF4-FFF2-40B4-BE49-F238E27FC236}">
              <a16:creationId xmlns:a16="http://schemas.microsoft.com/office/drawing/2014/main" id="{D15F7DFE-2365-47DE-9A57-DB6E3629855A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82" name="Line 303">
          <a:extLst>
            <a:ext uri="{FF2B5EF4-FFF2-40B4-BE49-F238E27FC236}">
              <a16:creationId xmlns:a16="http://schemas.microsoft.com/office/drawing/2014/main" id="{72B71012-96A6-425A-AAB1-986E803D0683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83" name="Line 34">
          <a:extLst>
            <a:ext uri="{FF2B5EF4-FFF2-40B4-BE49-F238E27FC236}">
              <a16:creationId xmlns:a16="http://schemas.microsoft.com/office/drawing/2014/main" id="{399EAF0B-391C-4092-BF1E-0221A7C22FC8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84" name="Line 35">
          <a:extLst>
            <a:ext uri="{FF2B5EF4-FFF2-40B4-BE49-F238E27FC236}">
              <a16:creationId xmlns:a16="http://schemas.microsoft.com/office/drawing/2014/main" id="{4ABC7CB9-3F70-4605-A748-D9AEB9708866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85" name="Line 36">
          <a:extLst>
            <a:ext uri="{FF2B5EF4-FFF2-40B4-BE49-F238E27FC236}">
              <a16:creationId xmlns:a16="http://schemas.microsoft.com/office/drawing/2014/main" id="{610B29FA-2B0A-4416-B416-3731B38CDEE0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86" name="Line 301">
          <a:extLst>
            <a:ext uri="{FF2B5EF4-FFF2-40B4-BE49-F238E27FC236}">
              <a16:creationId xmlns:a16="http://schemas.microsoft.com/office/drawing/2014/main" id="{8C34D26C-C798-4D3D-862C-49F7E8514428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87" name="Line 302">
          <a:extLst>
            <a:ext uri="{FF2B5EF4-FFF2-40B4-BE49-F238E27FC236}">
              <a16:creationId xmlns:a16="http://schemas.microsoft.com/office/drawing/2014/main" id="{9770AFC4-67C2-4854-BFA7-A1A2000DE600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88" name="Line 303">
          <a:extLst>
            <a:ext uri="{FF2B5EF4-FFF2-40B4-BE49-F238E27FC236}">
              <a16:creationId xmlns:a16="http://schemas.microsoft.com/office/drawing/2014/main" id="{BF628CEB-67A9-40CD-832D-A0FE6153CF73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89" name="Line 34">
          <a:extLst>
            <a:ext uri="{FF2B5EF4-FFF2-40B4-BE49-F238E27FC236}">
              <a16:creationId xmlns:a16="http://schemas.microsoft.com/office/drawing/2014/main" id="{3AFAA3F5-0158-408D-B43A-2CA96F95C897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90" name="Line 35">
          <a:extLst>
            <a:ext uri="{FF2B5EF4-FFF2-40B4-BE49-F238E27FC236}">
              <a16:creationId xmlns:a16="http://schemas.microsoft.com/office/drawing/2014/main" id="{EB4B903C-B162-4372-9110-462AE4C568A5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91" name="Line 36">
          <a:extLst>
            <a:ext uri="{FF2B5EF4-FFF2-40B4-BE49-F238E27FC236}">
              <a16:creationId xmlns:a16="http://schemas.microsoft.com/office/drawing/2014/main" id="{96C2CD7F-9414-45CF-8EA8-061A2C24B752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92" name="Line 301">
          <a:extLst>
            <a:ext uri="{FF2B5EF4-FFF2-40B4-BE49-F238E27FC236}">
              <a16:creationId xmlns:a16="http://schemas.microsoft.com/office/drawing/2014/main" id="{CD8916C3-1099-47F6-9122-C5F9418E98E8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93" name="Line 302">
          <a:extLst>
            <a:ext uri="{FF2B5EF4-FFF2-40B4-BE49-F238E27FC236}">
              <a16:creationId xmlns:a16="http://schemas.microsoft.com/office/drawing/2014/main" id="{DF22C145-FF30-459C-BF9D-6AB2E83E8C68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94" name="Line 303">
          <a:extLst>
            <a:ext uri="{FF2B5EF4-FFF2-40B4-BE49-F238E27FC236}">
              <a16:creationId xmlns:a16="http://schemas.microsoft.com/office/drawing/2014/main" id="{8AC2E784-1692-49E8-A9BC-8A03D7E2E93C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95" name="Line 34">
          <a:extLst>
            <a:ext uri="{FF2B5EF4-FFF2-40B4-BE49-F238E27FC236}">
              <a16:creationId xmlns:a16="http://schemas.microsoft.com/office/drawing/2014/main" id="{7D2D7A8B-C083-4F7F-8687-AFE2B524AA1A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96" name="Line 35">
          <a:extLst>
            <a:ext uri="{FF2B5EF4-FFF2-40B4-BE49-F238E27FC236}">
              <a16:creationId xmlns:a16="http://schemas.microsoft.com/office/drawing/2014/main" id="{0B7DE6BC-904F-410E-8514-B90692A1C982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97" name="Line 36">
          <a:extLst>
            <a:ext uri="{FF2B5EF4-FFF2-40B4-BE49-F238E27FC236}">
              <a16:creationId xmlns:a16="http://schemas.microsoft.com/office/drawing/2014/main" id="{3B9DB2B9-9155-458C-9AB2-CE7CF818EF78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98" name="Line 301">
          <a:extLst>
            <a:ext uri="{FF2B5EF4-FFF2-40B4-BE49-F238E27FC236}">
              <a16:creationId xmlns:a16="http://schemas.microsoft.com/office/drawing/2014/main" id="{9013D90C-9254-4E24-93F1-8FCAAA077A6F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99" name="Line 302">
          <a:extLst>
            <a:ext uri="{FF2B5EF4-FFF2-40B4-BE49-F238E27FC236}">
              <a16:creationId xmlns:a16="http://schemas.microsoft.com/office/drawing/2014/main" id="{53766F70-BFE8-4589-A69C-3F088A77400B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00" name="Line 303">
          <a:extLst>
            <a:ext uri="{FF2B5EF4-FFF2-40B4-BE49-F238E27FC236}">
              <a16:creationId xmlns:a16="http://schemas.microsoft.com/office/drawing/2014/main" id="{BCCBE9A3-6A55-4E06-8ED2-5895D30FB41D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01" name="Line 34">
          <a:extLst>
            <a:ext uri="{FF2B5EF4-FFF2-40B4-BE49-F238E27FC236}">
              <a16:creationId xmlns:a16="http://schemas.microsoft.com/office/drawing/2014/main" id="{D35ABD02-2C7D-4EDE-830E-9CB665480935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02" name="Line 35">
          <a:extLst>
            <a:ext uri="{FF2B5EF4-FFF2-40B4-BE49-F238E27FC236}">
              <a16:creationId xmlns:a16="http://schemas.microsoft.com/office/drawing/2014/main" id="{97D6AB05-C8D0-48B5-B362-24CC7FCBF1A9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03" name="Line 36">
          <a:extLst>
            <a:ext uri="{FF2B5EF4-FFF2-40B4-BE49-F238E27FC236}">
              <a16:creationId xmlns:a16="http://schemas.microsoft.com/office/drawing/2014/main" id="{DC6E5C1A-97CC-4BEC-A79F-61F778AF72D9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04" name="Line 301">
          <a:extLst>
            <a:ext uri="{FF2B5EF4-FFF2-40B4-BE49-F238E27FC236}">
              <a16:creationId xmlns:a16="http://schemas.microsoft.com/office/drawing/2014/main" id="{FFBAB57E-E561-4B94-AEB0-6C881540C0F0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05" name="Line 302">
          <a:extLst>
            <a:ext uri="{FF2B5EF4-FFF2-40B4-BE49-F238E27FC236}">
              <a16:creationId xmlns:a16="http://schemas.microsoft.com/office/drawing/2014/main" id="{106D2EC4-77FD-47E6-B7BF-9D1279FE7326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06" name="Line 303">
          <a:extLst>
            <a:ext uri="{FF2B5EF4-FFF2-40B4-BE49-F238E27FC236}">
              <a16:creationId xmlns:a16="http://schemas.microsoft.com/office/drawing/2014/main" id="{C2C3B5EC-3994-4D25-91A4-D860B274DC20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07" name="Line 34">
          <a:extLst>
            <a:ext uri="{FF2B5EF4-FFF2-40B4-BE49-F238E27FC236}">
              <a16:creationId xmlns:a16="http://schemas.microsoft.com/office/drawing/2014/main" id="{89F7675C-DC3E-40D1-9BCB-02129B864AEE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08" name="Line 35">
          <a:extLst>
            <a:ext uri="{FF2B5EF4-FFF2-40B4-BE49-F238E27FC236}">
              <a16:creationId xmlns:a16="http://schemas.microsoft.com/office/drawing/2014/main" id="{24815FDC-B8C4-4EA4-9FB4-EAF3A746379A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09" name="Line 36">
          <a:extLst>
            <a:ext uri="{FF2B5EF4-FFF2-40B4-BE49-F238E27FC236}">
              <a16:creationId xmlns:a16="http://schemas.microsoft.com/office/drawing/2014/main" id="{431A8C3F-71DB-4D03-B375-A871E6CB18E5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10" name="Line 301">
          <a:extLst>
            <a:ext uri="{FF2B5EF4-FFF2-40B4-BE49-F238E27FC236}">
              <a16:creationId xmlns:a16="http://schemas.microsoft.com/office/drawing/2014/main" id="{677743D7-E175-4AC5-9504-2F272A68F7E9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11" name="Line 302">
          <a:extLst>
            <a:ext uri="{FF2B5EF4-FFF2-40B4-BE49-F238E27FC236}">
              <a16:creationId xmlns:a16="http://schemas.microsoft.com/office/drawing/2014/main" id="{8E443930-8AA1-46ED-96C6-8581CC0D822C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12" name="Line 303">
          <a:extLst>
            <a:ext uri="{FF2B5EF4-FFF2-40B4-BE49-F238E27FC236}">
              <a16:creationId xmlns:a16="http://schemas.microsoft.com/office/drawing/2014/main" id="{B6DA200D-A022-45D8-A6DC-044410A8F4E7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13" name="Line 34">
          <a:extLst>
            <a:ext uri="{FF2B5EF4-FFF2-40B4-BE49-F238E27FC236}">
              <a16:creationId xmlns:a16="http://schemas.microsoft.com/office/drawing/2014/main" id="{42D44EFC-1767-4B15-BA31-44995B725AF1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14" name="Line 35">
          <a:extLst>
            <a:ext uri="{FF2B5EF4-FFF2-40B4-BE49-F238E27FC236}">
              <a16:creationId xmlns:a16="http://schemas.microsoft.com/office/drawing/2014/main" id="{3C1F2BC2-1265-48FF-8481-6E2050E87AA7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15" name="Line 36">
          <a:extLst>
            <a:ext uri="{FF2B5EF4-FFF2-40B4-BE49-F238E27FC236}">
              <a16:creationId xmlns:a16="http://schemas.microsoft.com/office/drawing/2014/main" id="{6AB65536-6756-4908-9866-81E20599F435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16" name="Line 301">
          <a:extLst>
            <a:ext uri="{FF2B5EF4-FFF2-40B4-BE49-F238E27FC236}">
              <a16:creationId xmlns:a16="http://schemas.microsoft.com/office/drawing/2014/main" id="{02D60D25-1716-4160-B6A4-93A590E2EE0E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17" name="Line 302">
          <a:extLst>
            <a:ext uri="{FF2B5EF4-FFF2-40B4-BE49-F238E27FC236}">
              <a16:creationId xmlns:a16="http://schemas.microsoft.com/office/drawing/2014/main" id="{E64BEA0E-3BC9-405F-9437-07F4EFE30AC3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18" name="Line 303">
          <a:extLst>
            <a:ext uri="{FF2B5EF4-FFF2-40B4-BE49-F238E27FC236}">
              <a16:creationId xmlns:a16="http://schemas.microsoft.com/office/drawing/2014/main" id="{686C87CB-920D-493A-BB7F-42F1F3217613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19" name="Line 34">
          <a:extLst>
            <a:ext uri="{FF2B5EF4-FFF2-40B4-BE49-F238E27FC236}">
              <a16:creationId xmlns:a16="http://schemas.microsoft.com/office/drawing/2014/main" id="{A6B5FB12-7B8D-4EC4-AFAB-270980A26117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20" name="Line 35">
          <a:extLst>
            <a:ext uri="{FF2B5EF4-FFF2-40B4-BE49-F238E27FC236}">
              <a16:creationId xmlns:a16="http://schemas.microsoft.com/office/drawing/2014/main" id="{1A6B6EAE-36F5-4AD3-8911-50B5692CD0E6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21" name="Line 36">
          <a:extLst>
            <a:ext uri="{FF2B5EF4-FFF2-40B4-BE49-F238E27FC236}">
              <a16:creationId xmlns:a16="http://schemas.microsoft.com/office/drawing/2014/main" id="{4719ECC9-A67C-4D0D-B6A0-69817916B147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22" name="Line 301">
          <a:extLst>
            <a:ext uri="{FF2B5EF4-FFF2-40B4-BE49-F238E27FC236}">
              <a16:creationId xmlns:a16="http://schemas.microsoft.com/office/drawing/2014/main" id="{556EC022-6C03-420D-A166-2A7B94EBB4FF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23" name="Line 302">
          <a:extLst>
            <a:ext uri="{FF2B5EF4-FFF2-40B4-BE49-F238E27FC236}">
              <a16:creationId xmlns:a16="http://schemas.microsoft.com/office/drawing/2014/main" id="{7B79E428-6338-4724-951D-89646ECFAACE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24" name="Line 303">
          <a:extLst>
            <a:ext uri="{FF2B5EF4-FFF2-40B4-BE49-F238E27FC236}">
              <a16:creationId xmlns:a16="http://schemas.microsoft.com/office/drawing/2014/main" id="{303F1051-5770-4724-BF28-5AC39D3B8F32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25" name="Line 34">
          <a:extLst>
            <a:ext uri="{FF2B5EF4-FFF2-40B4-BE49-F238E27FC236}">
              <a16:creationId xmlns:a16="http://schemas.microsoft.com/office/drawing/2014/main" id="{8B77B21B-BDD5-41F9-94B5-C0B67623B303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26" name="Line 35">
          <a:extLst>
            <a:ext uri="{FF2B5EF4-FFF2-40B4-BE49-F238E27FC236}">
              <a16:creationId xmlns:a16="http://schemas.microsoft.com/office/drawing/2014/main" id="{A48B49DD-403A-4B3B-9A60-55453F3F9539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27" name="Line 36">
          <a:extLst>
            <a:ext uri="{FF2B5EF4-FFF2-40B4-BE49-F238E27FC236}">
              <a16:creationId xmlns:a16="http://schemas.microsoft.com/office/drawing/2014/main" id="{AD163FFD-EEAA-47C4-9FC0-ED45B933A1DB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28" name="Line 301">
          <a:extLst>
            <a:ext uri="{FF2B5EF4-FFF2-40B4-BE49-F238E27FC236}">
              <a16:creationId xmlns:a16="http://schemas.microsoft.com/office/drawing/2014/main" id="{25FCEDAD-7130-4A10-BED4-D67F3920510F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29" name="Line 302">
          <a:extLst>
            <a:ext uri="{FF2B5EF4-FFF2-40B4-BE49-F238E27FC236}">
              <a16:creationId xmlns:a16="http://schemas.microsoft.com/office/drawing/2014/main" id="{F4E2CC2F-02DD-4B0E-BD96-AC248B0BB278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30" name="Line 303">
          <a:extLst>
            <a:ext uri="{FF2B5EF4-FFF2-40B4-BE49-F238E27FC236}">
              <a16:creationId xmlns:a16="http://schemas.microsoft.com/office/drawing/2014/main" id="{C4FDA101-4934-4BCB-8878-2744B44E0474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31" name="Line 34">
          <a:extLst>
            <a:ext uri="{FF2B5EF4-FFF2-40B4-BE49-F238E27FC236}">
              <a16:creationId xmlns:a16="http://schemas.microsoft.com/office/drawing/2014/main" id="{D5EC6826-1E55-40D0-B8C0-0AAC7FDC91D6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32" name="Line 35">
          <a:extLst>
            <a:ext uri="{FF2B5EF4-FFF2-40B4-BE49-F238E27FC236}">
              <a16:creationId xmlns:a16="http://schemas.microsoft.com/office/drawing/2014/main" id="{3C932E78-AC14-4614-90F4-BB9FCE71F533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33" name="Line 36">
          <a:extLst>
            <a:ext uri="{FF2B5EF4-FFF2-40B4-BE49-F238E27FC236}">
              <a16:creationId xmlns:a16="http://schemas.microsoft.com/office/drawing/2014/main" id="{7633A866-F075-425F-8870-4771994DEAA5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34" name="Line 301">
          <a:extLst>
            <a:ext uri="{FF2B5EF4-FFF2-40B4-BE49-F238E27FC236}">
              <a16:creationId xmlns:a16="http://schemas.microsoft.com/office/drawing/2014/main" id="{0E05A4FE-3C70-4A84-A746-9408FDDC0904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35" name="Line 302">
          <a:extLst>
            <a:ext uri="{FF2B5EF4-FFF2-40B4-BE49-F238E27FC236}">
              <a16:creationId xmlns:a16="http://schemas.microsoft.com/office/drawing/2014/main" id="{B89C1151-EAC6-44ED-9F2D-95D8C3254BD0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36" name="Line 303">
          <a:extLst>
            <a:ext uri="{FF2B5EF4-FFF2-40B4-BE49-F238E27FC236}">
              <a16:creationId xmlns:a16="http://schemas.microsoft.com/office/drawing/2014/main" id="{F6AC42ED-FFA5-4AEB-ABFD-8496F97A00DC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37" name="Line 34">
          <a:extLst>
            <a:ext uri="{FF2B5EF4-FFF2-40B4-BE49-F238E27FC236}">
              <a16:creationId xmlns:a16="http://schemas.microsoft.com/office/drawing/2014/main" id="{6D93B020-DC8B-4133-974D-E2338AB8ECA5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38" name="Line 35">
          <a:extLst>
            <a:ext uri="{FF2B5EF4-FFF2-40B4-BE49-F238E27FC236}">
              <a16:creationId xmlns:a16="http://schemas.microsoft.com/office/drawing/2014/main" id="{6F26C77B-3239-4530-B022-84A1A7D4ABAB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39" name="Line 36">
          <a:extLst>
            <a:ext uri="{FF2B5EF4-FFF2-40B4-BE49-F238E27FC236}">
              <a16:creationId xmlns:a16="http://schemas.microsoft.com/office/drawing/2014/main" id="{31DFC779-6D30-4148-A7DD-C527573E441A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40" name="Line 301">
          <a:extLst>
            <a:ext uri="{FF2B5EF4-FFF2-40B4-BE49-F238E27FC236}">
              <a16:creationId xmlns:a16="http://schemas.microsoft.com/office/drawing/2014/main" id="{483A09AF-2959-4B9F-A253-720006CA3A73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41" name="Line 302">
          <a:extLst>
            <a:ext uri="{FF2B5EF4-FFF2-40B4-BE49-F238E27FC236}">
              <a16:creationId xmlns:a16="http://schemas.microsoft.com/office/drawing/2014/main" id="{A48F71A0-EBA9-428D-8561-62F8EA7DC933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42" name="Line 303">
          <a:extLst>
            <a:ext uri="{FF2B5EF4-FFF2-40B4-BE49-F238E27FC236}">
              <a16:creationId xmlns:a16="http://schemas.microsoft.com/office/drawing/2014/main" id="{FD714C73-AB0F-4977-B25B-5C2EDFBD6B97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43" name="Line 34">
          <a:extLst>
            <a:ext uri="{FF2B5EF4-FFF2-40B4-BE49-F238E27FC236}">
              <a16:creationId xmlns:a16="http://schemas.microsoft.com/office/drawing/2014/main" id="{7D1378A8-8DC7-40DE-B439-F770AD985631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44" name="Line 35">
          <a:extLst>
            <a:ext uri="{FF2B5EF4-FFF2-40B4-BE49-F238E27FC236}">
              <a16:creationId xmlns:a16="http://schemas.microsoft.com/office/drawing/2014/main" id="{A0ED97B6-39F5-48B6-B27B-23F94A264C96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45" name="Line 36">
          <a:extLst>
            <a:ext uri="{FF2B5EF4-FFF2-40B4-BE49-F238E27FC236}">
              <a16:creationId xmlns:a16="http://schemas.microsoft.com/office/drawing/2014/main" id="{D7523A3E-A81A-4BA0-8113-F725304949BB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46" name="Line 301">
          <a:extLst>
            <a:ext uri="{FF2B5EF4-FFF2-40B4-BE49-F238E27FC236}">
              <a16:creationId xmlns:a16="http://schemas.microsoft.com/office/drawing/2014/main" id="{249CBE9E-7D37-4267-9E5A-71710011F891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47" name="Line 302">
          <a:extLst>
            <a:ext uri="{FF2B5EF4-FFF2-40B4-BE49-F238E27FC236}">
              <a16:creationId xmlns:a16="http://schemas.microsoft.com/office/drawing/2014/main" id="{1C15DB9A-7C46-498E-8A4D-F556A0061914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228600</xdr:rowOff>
    </xdr:from>
    <xdr:to>
      <xdr:col>7</xdr:col>
      <xdr:colOff>19050</xdr:colOff>
      <xdr:row>3</xdr:row>
      <xdr:rowOff>9525</xdr:rowOff>
    </xdr:to>
    <xdr:sp macro="" textlink="">
      <xdr:nvSpPr>
        <xdr:cNvPr id="148" name="Line 303">
          <a:extLst>
            <a:ext uri="{FF2B5EF4-FFF2-40B4-BE49-F238E27FC236}">
              <a16:creationId xmlns:a16="http://schemas.microsoft.com/office/drawing/2014/main" id="{6092D2A7-8E0B-4CFE-9BD3-B2C25223B9D3}"/>
            </a:ext>
          </a:extLst>
        </xdr:cNvPr>
        <xdr:cNvSpPr>
          <a:spLocks noChangeShapeType="1"/>
        </xdr:cNvSpPr>
      </xdr:nvSpPr>
      <xdr:spPr bwMode="auto">
        <a:xfrm flipH="1" flipV="1">
          <a:off x="26003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49" name="Line 34">
          <a:extLst>
            <a:ext uri="{FF2B5EF4-FFF2-40B4-BE49-F238E27FC236}">
              <a16:creationId xmlns:a16="http://schemas.microsoft.com/office/drawing/2014/main" id="{478A4DD1-17A7-4FEE-AF76-730CEC9F0042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50" name="Line 35">
          <a:extLst>
            <a:ext uri="{FF2B5EF4-FFF2-40B4-BE49-F238E27FC236}">
              <a16:creationId xmlns:a16="http://schemas.microsoft.com/office/drawing/2014/main" id="{581F92B7-CCD0-4AEA-B4C3-E64FBD6D31FD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51" name="Line 36">
          <a:extLst>
            <a:ext uri="{FF2B5EF4-FFF2-40B4-BE49-F238E27FC236}">
              <a16:creationId xmlns:a16="http://schemas.microsoft.com/office/drawing/2014/main" id="{32A90AD2-BB75-41D6-B2FA-D709750ED391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52" name="Line 301">
          <a:extLst>
            <a:ext uri="{FF2B5EF4-FFF2-40B4-BE49-F238E27FC236}">
              <a16:creationId xmlns:a16="http://schemas.microsoft.com/office/drawing/2014/main" id="{47324916-4369-424A-B3E5-050F20D20D1E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53" name="Line 302">
          <a:extLst>
            <a:ext uri="{FF2B5EF4-FFF2-40B4-BE49-F238E27FC236}">
              <a16:creationId xmlns:a16="http://schemas.microsoft.com/office/drawing/2014/main" id="{2AD54344-8D87-4517-A907-8005E313C1F8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54" name="Line 303">
          <a:extLst>
            <a:ext uri="{FF2B5EF4-FFF2-40B4-BE49-F238E27FC236}">
              <a16:creationId xmlns:a16="http://schemas.microsoft.com/office/drawing/2014/main" id="{546B295B-6D31-4B91-9E9C-7DFAB3DC3E75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55" name="Line 34">
          <a:extLst>
            <a:ext uri="{FF2B5EF4-FFF2-40B4-BE49-F238E27FC236}">
              <a16:creationId xmlns:a16="http://schemas.microsoft.com/office/drawing/2014/main" id="{2DE8E2E5-6D83-4006-B41F-5E93C053B3B0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56" name="Line 35">
          <a:extLst>
            <a:ext uri="{FF2B5EF4-FFF2-40B4-BE49-F238E27FC236}">
              <a16:creationId xmlns:a16="http://schemas.microsoft.com/office/drawing/2014/main" id="{4DDC9BF8-BC86-49AD-B802-0980CB93F453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57" name="Line 36">
          <a:extLst>
            <a:ext uri="{FF2B5EF4-FFF2-40B4-BE49-F238E27FC236}">
              <a16:creationId xmlns:a16="http://schemas.microsoft.com/office/drawing/2014/main" id="{140B53E3-1DA5-4491-96AE-361A3EE74358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58" name="Line 301">
          <a:extLst>
            <a:ext uri="{FF2B5EF4-FFF2-40B4-BE49-F238E27FC236}">
              <a16:creationId xmlns:a16="http://schemas.microsoft.com/office/drawing/2014/main" id="{D8F489B9-01BD-43A6-87DC-B5D813D57476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59" name="Line 302">
          <a:extLst>
            <a:ext uri="{FF2B5EF4-FFF2-40B4-BE49-F238E27FC236}">
              <a16:creationId xmlns:a16="http://schemas.microsoft.com/office/drawing/2014/main" id="{67B9FA9D-336F-4F02-A4A4-5994109D946A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60" name="Line 303">
          <a:extLst>
            <a:ext uri="{FF2B5EF4-FFF2-40B4-BE49-F238E27FC236}">
              <a16:creationId xmlns:a16="http://schemas.microsoft.com/office/drawing/2014/main" id="{8D2A2FB6-9222-47AF-B32F-67CD19651421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61" name="Line 34">
          <a:extLst>
            <a:ext uri="{FF2B5EF4-FFF2-40B4-BE49-F238E27FC236}">
              <a16:creationId xmlns:a16="http://schemas.microsoft.com/office/drawing/2014/main" id="{21609EC8-A578-4B5D-A6AF-71E418B971CD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62" name="Line 35">
          <a:extLst>
            <a:ext uri="{FF2B5EF4-FFF2-40B4-BE49-F238E27FC236}">
              <a16:creationId xmlns:a16="http://schemas.microsoft.com/office/drawing/2014/main" id="{AC1AFEF1-88F5-48B0-8141-BFCAFF4CA180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63" name="Line 36">
          <a:extLst>
            <a:ext uri="{FF2B5EF4-FFF2-40B4-BE49-F238E27FC236}">
              <a16:creationId xmlns:a16="http://schemas.microsoft.com/office/drawing/2014/main" id="{6A016EFC-230F-460E-952A-B90DBD063FDA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64" name="Line 301">
          <a:extLst>
            <a:ext uri="{FF2B5EF4-FFF2-40B4-BE49-F238E27FC236}">
              <a16:creationId xmlns:a16="http://schemas.microsoft.com/office/drawing/2014/main" id="{B1E0429F-0FF5-4272-8B5A-BF77182A26BA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65" name="Line 302">
          <a:extLst>
            <a:ext uri="{FF2B5EF4-FFF2-40B4-BE49-F238E27FC236}">
              <a16:creationId xmlns:a16="http://schemas.microsoft.com/office/drawing/2014/main" id="{99F93CBF-EC98-46E0-BE99-2EC7527D9F79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66" name="Line 303">
          <a:extLst>
            <a:ext uri="{FF2B5EF4-FFF2-40B4-BE49-F238E27FC236}">
              <a16:creationId xmlns:a16="http://schemas.microsoft.com/office/drawing/2014/main" id="{E77E2F43-33C7-493C-95C3-174DC4AF8C1E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67" name="Line 34">
          <a:extLst>
            <a:ext uri="{FF2B5EF4-FFF2-40B4-BE49-F238E27FC236}">
              <a16:creationId xmlns:a16="http://schemas.microsoft.com/office/drawing/2014/main" id="{64370594-DE69-4A91-B1C4-5FA761D0170C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68" name="Line 35">
          <a:extLst>
            <a:ext uri="{FF2B5EF4-FFF2-40B4-BE49-F238E27FC236}">
              <a16:creationId xmlns:a16="http://schemas.microsoft.com/office/drawing/2014/main" id="{A5BECDDC-9D8F-42EA-93A1-7FB76A99CE4E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69" name="Line 36">
          <a:extLst>
            <a:ext uri="{FF2B5EF4-FFF2-40B4-BE49-F238E27FC236}">
              <a16:creationId xmlns:a16="http://schemas.microsoft.com/office/drawing/2014/main" id="{5B95BB1E-B9CF-42E9-B236-9BE2720B3A0D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70" name="Line 301">
          <a:extLst>
            <a:ext uri="{FF2B5EF4-FFF2-40B4-BE49-F238E27FC236}">
              <a16:creationId xmlns:a16="http://schemas.microsoft.com/office/drawing/2014/main" id="{F74EDBEC-517A-46BA-9E2B-D181A1635B4C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71" name="Line 302">
          <a:extLst>
            <a:ext uri="{FF2B5EF4-FFF2-40B4-BE49-F238E27FC236}">
              <a16:creationId xmlns:a16="http://schemas.microsoft.com/office/drawing/2014/main" id="{3428A462-D150-4A3E-AB34-A83B311C6E95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72" name="Line 303">
          <a:extLst>
            <a:ext uri="{FF2B5EF4-FFF2-40B4-BE49-F238E27FC236}">
              <a16:creationId xmlns:a16="http://schemas.microsoft.com/office/drawing/2014/main" id="{0CF52E31-DEEC-41C3-BF5D-59C40270B2BA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73" name="Line 34">
          <a:extLst>
            <a:ext uri="{FF2B5EF4-FFF2-40B4-BE49-F238E27FC236}">
              <a16:creationId xmlns:a16="http://schemas.microsoft.com/office/drawing/2014/main" id="{7D9D1D2B-E86A-496F-8264-E84809886C26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74" name="Line 35">
          <a:extLst>
            <a:ext uri="{FF2B5EF4-FFF2-40B4-BE49-F238E27FC236}">
              <a16:creationId xmlns:a16="http://schemas.microsoft.com/office/drawing/2014/main" id="{AC8FCF51-01BD-4D3F-BE5F-9E67F54EDB49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75" name="Line 36">
          <a:extLst>
            <a:ext uri="{FF2B5EF4-FFF2-40B4-BE49-F238E27FC236}">
              <a16:creationId xmlns:a16="http://schemas.microsoft.com/office/drawing/2014/main" id="{B5170E36-8D91-4D8E-B445-0E28AFDC0DC0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76" name="Line 301">
          <a:extLst>
            <a:ext uri="{FF2B5EF4-FFF2-40B4-BE49-F238E27FC236}">
              <a16:creationId xmlns:a16="http://schemas.microsoft.com/office/drawing/2014/main" id="{3195582B-2189-46F0-8B86-142794CBE065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77" name="Line 302">
          <a:extLst>
            <a:ext uri="{FF2B5EF4-FFF2-40B4-BE49-F238E27FC236}">
              <a16:creationId xmlns:a16="http://schemas.microsoft.com/office/drawing/2014/main" id="{A5A1E550-4562-4066-8C69-BF006DF8D800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78" name="Line 303">
          <a:extLst>
            <a:ext uri="{FF2B5EF4-FFF2-40B4-BE49-F238E27FC236}">
              <a16:creationId xmlns:a16="http://schemas.microsoft.com/office/drawing/2014/main" id="{5A8F583F-3E82-4526-8497-5341BF2FC481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79" name="Line 34">
          <a:extLst>
            <a:ext uri="{FF2B5EF4-FFF2-40B4-BE49-F238E27FC236}">
              <a16:creationId xmlns:a16="http://schemas.microsoft.com/office/drawing/2014/main" id="{E907B10F-BCD5-4315-8798-D2F030F67935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80" name="Line 35">
          <a:extLst>
            <a:ext uri="{FF2B5EF4-FFF2-40B4-BE49-F238E27FC236}">
              <a16:creationId xmlns:a16="http://schemas.microsoft.com/office/drawing/2014/main" id="{B77A8450-1794-429E-BBF0-3D04CFF52213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81" name="Line 36">
          <a:extLst>
            <a:ext uri="{FF2B5EF4-FFF2-40B4-BE49-F238E27FC236}">
              <a16:creationId xmlns:a16="http://schemas.microsoft.com/office/drawing/2014/main" id="{B4009A48-1C12-453A-9D92-BDD77F5D76B9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82" name="Line 301">
          <a:extLst>
            <a:ext uri="{FF2B5EF4-FFF2-40B4-BE49-F238E27FC236}">
              <a16:creationId xmlns:a16="http://schemas.microsoft.com/office/drawing/2014/main" id="{6302495A-A893-4DE8-BA3A-BBEB58DEEA26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83" name="Line 302">
          <a:extLst>
            <a:ext uri="{FF2B5EF4-FFF2-40B4-BE49-F238E27FC236}">
              <a16:creationId xmlns:a16="http://schemas.microsoft.com/office/drawing/2014/main" id="{EB1CA67E-3270-445F-B18A-1E174235814A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84" name="Line 303">
          <a:extLst>
            <a:ext uri="{FF2B5EF4-FFF2-40B4-BE49-F238E27FC236}">
              <a16:creationId xmlns:a16="http://schemas.microsoft.com/office/drawing/2014/main" id="{8920542C-BA9B-40CE-8B6B-BAF8A95DA25F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85" name="Line 34">
          <a:extLst>
            <a:ext uri="{FF2B5EF4-FFF2-40B4-BE49-F238E27FC236}">
              <a16:creationId xmlns:a16="http://schemas.microsoft.com/office/drawing/2014/main" id="{334078A1-580A-4FB5-8C46-FC2832B12052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86" name="Line 35">
          <a:extLst>
            <a:ext uri="{FF2B5EF4-FFF2-40B4-BE49-F238E27FC236}">
              <a16:creationId xmlns:a16="http://schemas.microsoft.com/office/drawing/2014/main" id="{4D7E934D-E9E4-4994-8663-2D56EFDB44C1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87" name="Line 36">
          <a:extLst>
            <a:ext uri="{FF2B5EF4-FFF2-40B4-BE49-F238E27FC236}">
              <a16:creationId xmlns:a16="http://schemas.microsoft.com/office/drawing/2014/main" id="{A26494CE-C7E3-4699-A2B6-9DCF4F97F680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88" name="Line 301">
          <a:extLst>
            <a:ext uri="{FF2B5EF4-FFF2-40B4-BE49-F238E27FC236}">
              <a16:creationId xmlns:a16="http://schemas.microsoft.com/office/drawing/2014/main" id="{18520E07-08AB-4AB1-BFB7-90F55F6FB3B6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89" name="Line 302">
          <a:extLst>
            <a:ext uri="{FF2B5EF4-FFF2-40B4-BE49-F238E27FC236}">
              <a16:creationId xmlns:a16="http://schemas.microsoft.com/office/drawing/2014/main" id="{7A8EC588-B307-47EE-AA40-7CF06FE4158C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90" name="Line 303">
          <a:extLst>
            <a:ext uri="{FF2B5EF4-FFF2-40B4-BE49-F238E27FC236}">
              <a16:creationId xmlns:a16="http://schemas.microsoft.com/office/drawing/2014/main" id="{0EC33D8A-0F46-482D-8A0E-018B04D82C6C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91" name="Line 34">
          <a:extLst>
            <a:ext uri="{FF2B5EF4-FFF2-40B4-BE49-F238E27FC236}">
              <a16:creationId xmlns:a16="http://schemas.microsoft.com/office/drawing/2014/main" id="{D25318BB-E576-4693-98DF-A17FD4B0DB61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92" name="Line 35">
          <a:extLst>
            <a:ext uri="{FF2B5EF4-FFF2-40B4-BE49-F238E27FC236}">
              <a16:creationId xmlns:a16="http://schemas.microsoft.com/office/drawing/2014/main" id="{AA49770A-A901-4E95-AC6D-8D585DB88EC8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93" name="Line 36">
          <a:extLst>
            <a:ext uri="{FF2B5EF4-FFF2-40B4-BE49-F238E27FC236}">
              <a16:creationId xmlns:a16="http://schemas.microsoft.com/office/drawing/2014/main" id="{25269FFB-C338-4328-80F3-1AF30B248AED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94" name="Line 301">
          <a:extLst>
            <a:ext uri="{FF2B5EF4-FFF2-40B4-BE49-F238E27FC236}">
              <a16:creationId xmlns:a16="http://schemas.microsoft.com/office/drawing/2014/main" id="{84ECE0A9-5AE6-4E3D-9F70-F02E02FACDAD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95" name="Line 302">
          <a:extLst>
            <a:ext uri="{FF2B5EF4-FFF2-40B4-BE49-F238E27FC236}">
              <a16:creationId xmlns:a16="http://schemas.microsoft.com/office/drawing/2014/main" id="{D366EB8A-001A-4DEB-A5FB-748CFCA29B87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96" name="Line 303">
          <a:extLst>
            <a:ext uri="{FF2B5EF4-FFF2-40B4-BE49-F238E27FC236}">
              <a16:creationId xmlns:a16="http://schemas.microsoft.com/office/drawing/2014/main" id="{C74D971E-D11B-4D3E-A4E3-6EADBA34AE71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97" name="Line 34">
          <a:extLst>
            <a:ext uri="{FF2B5EF4-FFF2-40B4-BE49-F238E27FC236}">
              <a16:creationId xmlns:a16="http://schemas.microsoft.com/office/drawing/2014/main" id="{6309F709-7403-413F-9131-D49CD9FD550F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98" name="Line 35">
          <a:extLst>
            <a:ext uri="{FF2B5EF4-FFF2-40B4-BE49-F238E27FC236}">
              <a16:creationId xmlns:a16="http://schemas.microsoft.com/office/drawing/2014/main" id="{B1C5A130-01E1-4E73-937B-801179C7942E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199" name="Line 36">
          <a:extLst>
            <a:ext uri="{FF2B5EF4-FFF2-40B4-BE49-F238E27FC236}">
              <a16:creationId xmlns:a16="http://schemas.microsoft.com/office/drawing/2014/main" id="{D0CFF06E-11A3-4C1C-8F5C-6C167B6F640F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00" name="Line 301">
          <a:extLst>
            <a:ext uri="{FF2B5EF4-FFF2-40B4-BE49-F238E27FC236}">
              <a16:creationId xmlns:a16="http://schemas.microsoft.com/office/drawing/2014/main" id="{6C69D53E-2925-4A41-AC92-344C888219F2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01" name="Line 302">
          <a:extLst>
            <a:ext uri="{FF2B5EF4-FFF2-40B4-BE49-F238E27FC236}">
              <a16:creationId xmlns:a16="http://schemas.microsoft.com/office/drawing/2014/main" id="{FD4F2B6E-114E-4DA2-9A05-79A313DACB2D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02" name="Line 303">
          <a:extLst>
            <a:ext uri="{FF2B5EF4-FFF2-40B4-BE49-F238E27FC236}">
              <a16:creationId xmlns:a16="http://schemas.microsoft.com/office/drawing/2014/main" id="{398E746B-DC46-4A9D-A3AF-1EE3FC7BFFD1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03" name="Line 34">
          <a:extLst>
            <a:ext uri="{FF2B5EF4-FFF2-40B4-BE49-F238E27FC236}">
              <a16:creationId xmlns:a16="http://schemas.microsoft.com/office/drawing/2014/main" id="{EA5448C2-7AA4-405E-8713-F093CF9B8477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04" name="Line 35">
          <a:extLst>
            <a:ext uri="{FF2B5EF4-FFF2-40B4-BE49-F238E27FC236}">
              <a16:creationId xmlns:a16="http://schemas.microsoft.com/office/drawing/2014/main" id="{9FC697F2-122A-4BEA-B52D-BC457A014EDA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05" name="Line 36">
          <a:extLst>
            <a:ext uri="{FF2B5EF4-FFF2-40B4-BE49-F238E27FC236}">
              <a16:creationId xmlns:a16="http://schemas.microsoft.com/office/drawing/2014/main" id="{E256D2D2-C77E-4AFD-A16C-2B3F694C6DD3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06" name="Line 301">
          <a:extLst>
            <a:ext uri="{FF2B5EF4-FFF2-40B4-BE49-F238E27FC236}">
              <a16:creationId xmlns:a16="http://schemas.microsoft.com/office/drawing/2014/main" id="{CD62AF2C-A386-48B3-ACAD-16B3DB3C7A32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07" name="Line 302">
          <a:extLst>
            <a:ext uri="{FF2B5EF4-FFF2-40B4-BE49-F238E27FC236}">
              <a16:creationId xmlns:a16="http://schemas.microsoft.com/office/drawing/2014/main" id="{C6301B41-BF0A-40F8-9FEB-3D87B7315929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08" name="Line 303">
          <a:extLst>
            <a:ext uri="{FF2B5EF4-FFF2-40B4-BE49-F238E27FC236}">
              <a16:creationId xmlns:a16="http://schemas.microsoft.com/office/drawing/2014/main" id="{53B85A8D-78B4-4DAC-96B9-99B4DE76C6A8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09" name="Line 34">
          <a:extLst>
            <a:ext uri="{FF2B5EF4-FFF2-40B4-BE49-F238E27FC236}">
              <a16:creationId xmlns:a16="http://schemas.microsoft.com/office/drawing/2014/main" id="{3CE761F0-7376-4ECB-A7F0-6D1680A62D42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10" name="Line 35">
          <a:extLst>
            <a:ext uri="{FF2B5EF4-FFF2-40B4-BE49-F238E27FC236}">
              <a16:creationId xmlns:a16="http://schemas.microsoft.com/office/drawing/2014/main" id="{4B980B20-6E15-4EBB-B273-B84064FA1BC7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11" name="Line 36">
          <a:extLst>
            <a:ext uri="{FF2B5EF4-FFF2-40B4-BE49-F238E27FC236}">
              <a16:creationId xmlns:a16="http://schemas.microsoft.com/office/drawing/2014/main" id="{E5FC82E7-48E0-43AD-806C-947064ED3ED1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12" name="Line 301">
          <a:extLst>
            <a:ext uri="{FF2B5EF4-FFF2-40B4-BE49-F238E27FC236}">
              <a16:creationId xmlns:a16="http://schemas.microsoft.com/office/drawing/2014/main" id="{E66FCF34-CD04-48C1-B04B-CF264FC1BBCC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13" name="Line 302">
          <a:extLst>
            <a:ext uri="{FF2B5EF4-FFF2-40B4-BE49-F238E27FC236}">
              <a16:creationId xmlns:a16="http://schemas.microsoft.com/office/drawing/2014/main" id="{AD3FF302-B8FE-4624-94BF-D3CC82C9A8DC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14" name="Line 303">
          <a:extLst>
            <a:ext uri="{FF2B5EF4-FFF2-40B4-BE49-F238E27FC236}">
              <a16:creationId xmlns:a16="http://schemas.microsoft.com/office/drawing/2014/main" id="{6CF5B386-4498-4D37-9980-A6E701119520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15" name="Line 34">
          <a:extLst>
            <a:ext uri="{FF2B5EF4-FFF2-40B4-BE49-F238E27FC236}">
              <a16:creationId xmlns:a16="http://schemas.microsoft.com/office/drawing/2014/main" id="{25CC38E6-0D3E-4EF9-B777-2A86F9295234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16" name="Line 35">
          <a:extLst>
            <a:ext uri="{FF2B5EF4-FFF2-40B4-BE49-F238E27FC236}">
              <a16:creationId xmlns:a16="http://schemas.microsoft.com/office/drawing/2014/main" id="{9A035470-CACB-4C08-AADA-0EDCA95C9D50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17" name="Line 36">
          <a:extLst>
            <a:ext uri="{FF2B5EF4-FFF2-40B4-BE49-F238E27FC236}">
              <a16:creationId xmlns:a16="http://schemas.microsoft.com/office/drawing/2014/main" id="{133BEFB4-8326-40E0-95B4-B56484C43786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18" name="Line 301">
          <a:extLst>
            <a:ext uri="{FF2B5EF4-FFF2-40B4-BE49-F238E27FC236}">
              <a16:creationId xmlns:a16="http://schemas.microsoft.com/office/drawing/2014/main" id="{7E08C883-04F2-4090-A6EA-72415E7BDE09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19" name="Line 302">
          <a:extLst>
            <a:ext uri="{FF2B5EF4-FFF2-40B4-BE49-F238E27FC236}">
              <a16:creationId xmlns:a16="http://schemas.microsoft.com/office/drawing/2014/main" id="{0DE491EE-CE64-4895-AA39-FED5ADA144BB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20" name="Line 303">
          <a:extLst>
            <a:ext uri="{FF2B5EF4-FFF2-40B4-BE49-F238E27FC236}">
              <a16:creationId xmlns:a16="http://schemas.microsoft.com/office/drawing/2014/main" id="{34B1645D-12A7-42F2-A438-8A39C1281440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21" name="Line 34">
          <a:extLst>
            <a:ext uri="{FF2B5EF4-FFF2-40B4-BE49-F238E27FC236}">
              <a16:creationId xmlns:a16="http://schemas.microsoft.com/office/drawing/2014/main" id="{E33CC3E2-206C-4D43-AD6C-5D3A68564230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22" name="Line 35">
          <a:extLst>
            <a:ext uri="{FF2B5EF4-FFF2-40B4-BE49-F238E27FC236}">
              <a16:creationId xmlns:a16="http://schemas.microsoft.com/office/drawing/2014/main" id="{67322FCB-16FA-43F8-8CF9-5A794AB11BA6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23" name="Line 36">
          <a:extLst>
            <a:ext uri="{FF2B5EF4-FFF2-40B4-BE49-F238E27FC236}">
              <a16:creationId xmlns:a16="http://schemas.microsoft.com/office/drawing/2014/main" id="{EC5D23A9-BFC7-414D-AA18-691510E43D56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24" name="Line 301">
          <a:extLst>
            <a:ext uri="{FF2B5EF4-FFF2-40B4-BE49-F238E27FC236}">
              <a16:creationId xmlns:a16="http://schemas.microsoft.com/office/drawing/2014/main" id="{57C00DBF-9E7F-465F-B40C-892EDD9CA720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25" name="Line 302">
          <a:extLst>
            <a:ext uri="{FF2B5EF4-FFF2-40B4-BE49-F238E27FC236}">
              <a16:creationId xmlns:a16="http://schemas.microsoft.com/office/drawing/2014/main" id="{32B91877-79A3-4260-A222-93C63015421C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26" name="Line 303">
          <a:extLst>
            <a:ext uri="{FF2B5EF4-FFF2-40B4-BE49-F238E27FC236}">
              <a16:creationId xmlns:a16="http://schemas.microsoft.com/office/drawing/2014/main" id="{2E52B657-9D80-4D04-9E63-5A2C81A38DC9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27" name="Line 34">
          <a:extLst>
            <a:ext uri="{FF2B5EF4-FFF2-40B4-BE49-F238E27FC236}">
              <a16:creationId xmlns:a16="http://schemas.microsoft.com/office/drawing/2014/main" id="{81F75120-EEB6-4119-B3C6-15B8E0A3785A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28" name="Line 35">
          <a:extLst>
            <a:ext uri="{FF2B5EF4-FFF2-40B4-BE49-F238E27FC236}">
              <a16:creationId xmlns:a16="http://schemas.microsoft.com/office/drawing/2014/main" id="{DC15695E-F230-4F7A-9081-23E50EC1DA52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29" name="Line 36">
          <a:extLst>
            <a:ext uri="{FF2B5EF4-FFF2-40B4-BE49-F238E27FC236}">
              <a16:creationId xmlns:a16="http://schemas.microsoft.com/office/drawing/2014/main" id="{7F4867C9-54B1-47F1-8C3C-BA993F87C227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30" name="Line 301">
          <a:extLst>
            <a:ext uri="{FF2B5EF4-FFF2-40B4-BE49-F238E27FC236}">
              <a16:creationId xmlns:a16="http://schemas.microsoft.com/office/drawing/2014/main" id="{185F16C9-EFB2-40FF-A754-BD07B74773A8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31" name="Line 302">
          <a:extLst>
            <a:ext uri="{FF2B5EF4-FFF2-40B4-BE49-F238E27FC236}">
              <a16:creationId xmlns:a16="http://schemas.microsoft.com/office/drawing/2014/main" id="{D54B9BBD-3C83-4E3C-BFF9-7C4DC8400871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32" name="Line 303">
          <a:extLst>
            <a:ext uri="{FF2B5EF4-FFF2-40B4-BE49-F238E27FC236}">
              <a16:creationId xmlns:a16="http://schemas.microsoft.com/office/drawing/2014/main" id="{5D4129D1-5FBC-49D7-A4DF-A1970FB23E48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33" name="Line 34">
          <a:extLst>
            <a:ext uri="{FF2B5EF4-FFF2-40B4-BE49-F238E27FC236}">
              <a16:creationId xmlns:a16="http://schemas.microsoft.com/office/drawing/2014/main" id="{159DAC92-69F0-4B97-84CE-9E9DC2F27498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34" name="Line 35">
          <a:extLst>
            <a:ext uri="{FF2B5EF4-FFF2-40B4-BE49-F238E27FC236}">
              <a16:creationId xmlns:a16="http://schemas.microsoft.com/office/drawing/2014/main" id="{E224E86D-5401-4538-87D0-F2BC932674AE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35" name="Line 36">
          <a:extLst>
            <a:ext uri="{FF2B5EF4-FFF2-40B4-BE49-F238E27FC236}">
              <a16:creationId xmlns:a16="http://schemas.microsoft.com/office/drawing/2014/main" id="{FB7F8785-568F-4732-B684-11007667D7BF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36" name="Line 301">
          <a:extLst>
            <a:ext uri="{FF2B5EF4-FFF2-40B4-BE49-F238E27FC236}">
              <a16:creationId xmlns:a16="http://schemas.microsoft.com/office/drawing/2014/main" id="{8D29239E-7763-43B1-95D8-3AF2E2EA0EB7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37" name="Line 302">
          <a:extLst>
            <a:ext uri="{FF2B5EF4-FFF2-40B4-BE49-F238E27FC236}">
              <a16:creationId xmlns:a16="http://schemas.microsoft.com/office/drawing/2014/main" id="{E7052BCB-A19C-49E1-A2A1-62E3193B50AE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38" name="Line 303">
          <a:extLst>
            <a:ext uri="{FF2B5EF4-FFF2-40B4-BE49-F238E27FC236}">
              <a16:creationId xmlns:a16="http://schemas.microsoft.com/office/drawing/2014/main" id="{B6FE12DD-9D53-4CF4-8BD4-34D513AFBA6E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39" name="Line 34">
          <a:extLst>
            <a:ext uri="{FF2B5EF4-FFF2-40B4-BE49-F238E27FC236}">
              <a16:creationId xmlns:a16="http://schemas.microsoft.com/office/drawing/2014/main" id="{DED96E38-DCBD-4FD0-A561-6A44AA805D9B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40" name="Line 35">
          <a:extLst>
            <a:ext uri="{FF2B5EF4-FFF2-40B4-BE49-F238E27FC236}">
              <a16:creationId xmlns:a16="http://schemas.microsoft.com/office/drawing/2014/main" id="{9BAED2DF-B9D0-4F5D-AE51-4A27C9D7EA8A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41" name="Line 36">
          <a:extLst>
            <a:ext uri="{FF2B5EF4-FFF2-40B4-BE49-F238E27FC236}">
              <a16:creationId xmlns:a16="http://schemas.microsoft.com/office/drawing/2014/main" id="{482B4019-D51F-4DE3-933D-ACBDB3FEA85F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42" name="Line 301">
          <a:extLst>
            <a:ext uri="{FF2B5EF4-FFF2-40B4-BE49-F238E27FC236}">
              <a16:creationId xmlns:a16="http://schemas.microsoft.com/office/drawing/2014/main" id="{998035F0-16E4-42E3-9871-E82ED2CB121A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43" name="Line 302">
          <a:extLst>
            <a:ext uri="{FF2B5EF4-FFF2-40B4-BE49-F238E27FC236}">
              <a16:creationId xmlns:a16="http://schemas.microsoft.com/office/drawing/2014/main" id="{DE3420C1-5DB5-49A5-BB0E-B172B436FFB3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</xdr:row>
      <xdr:rowOff>228600</xdr:rowOff>
    </xdr:from>
    <xdr:to>
      <xdr:col>11</xdr:col>
      <xdr:colOff>19050</xdr:colOff>
      <xdr:row>3</xdr:row>
      <xdr:rowOff>9525</xdr:rowOff>
    </xdr:to>
    <xdr:sp macro="" textlink="">
      <xdr:nvSpPr>
        <xdr:cNvPr id="244" name="Line 303">
          <a:extLst>
            <a:ext uri="{FF2B5EF4-FFF2-40B4-BE49-F238E27FC236}">
              <a16:creationId xmlns:a16="http://schemas.microsoft.com/office/drawing/2014/main" id="{B59D8571-F6EC-4C75-A751-76E01648716C}"/>
            </a:ext>
          </a:extLst>
        </xdr:cNvPr>
        <xdr:cNvSpPr>
          <a:spLocks noChangeShapeType="1"/>
        </xdr:cNvSpPr>
      </xdr:nvSpPr>
      <xdr:spPr bwMode="auto">
        <a:xfrm flipH="1" flipV="1">
          <a:off x="44386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45" name="Line 34">
          <a:extLst>
            <a:ext uri="{FF2B5EF4-FFF2-40B4-BE49-F238E27FC236}">
              <a16:creationId xmlns:a16="http://schemas.microsoft.com/office/drawing/2014/main" id="{5EBECD71-0A04-4510-AFCF-610719824555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46" name="Line 35">
          <a:extLst>
            <a:ext uri="{FF2B5EF4-FFF2-40B4-BE49-F238E27FC236}">
              <a16:creationId xmlns:a16="http://schemas.microsoft.com/office/drawing/2014/main" id="{04D68318-6545-40A1-AF5D-E53E4DB6A039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47" name="Line 36">
          <a:extLst>
            <a:ext uri="{FF2B5EF4-FFF2-40B4-BE49-F238E27FC236}">
              <a16:creationId xmlns:a16="http://schemas.microsoft.com/office/drawing/2014/main" id="{DF64D2DB-B371-4A9A-BDF9-C4D5F3AEBC32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48" name="Line 301">
          <a:extLst>
            <a:ext uri="{FF2B5EF4-FFF2-40B4-BE49-F238E27FC236}">
              <a16:creationId xmlns:a16="http://schemas.microsoft.com/office/drawing/2014/main" id="{DFF7827F-DB18-48F1-9CEF-738B0EDF12B2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49" name="Line 302">
          <a:extLst>
            <a:ext uri="{FF2B5EF4-FFF2-40B4-BE49-F238E27FC236}">
              <a16:creationId xmlns:a16="http://schemas.microsoft.com/office/drawing/2014/main" id="{EDAB443D-AA5B-41E3-B32D-AD31C620CB67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50" name="Line 303">
          <a:extLst>
            <a:ext uri="{FF2B5EF4-FFF2-40B4-BE49-F238E27FC236}">
              <a16:creationId xmlns:a16="http://schemas.microsoft.com/office/drawing/2014/main" id="{8E111F22-4B13-4FCF-82CA-B45666DED597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51" name="Line 34">
          <a:extLst>
            <a:ext uri="{FF2B5EF4-FFF2-40B4-BE49-F238E27FC236}">
              <a16:creationId xmlns:a16="http://schemas.microsoft.com/office/drawing/2014/main" id="{CAF45E27-10C0-448E-AB12-CD4EFA670050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52" name="Line 35">
          <a:extLst>
            <a:ext uri="{FF2B5EF4-FFF2-40B4-BE49-F238E27FC236}">
              <a16:creationId xmlns:a16="http://schemas.microsoft.com/office/drawing/2014/main" id="{37F9A148-E4BB-45C4-B001-0BF39EE9A1B8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53" name="Line 36">
          <a:extLst>
            <a:ext uri="{FF2B5EF4-FFF2-40B4-BE49-F238E27FC236}">
              <a16:creationId xmlns:a16="http://schemas.microsoft.com/office/drawing/2014/main" id="{F3D0A878-4A5E-4790-8764-5A38DFB19224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54" name="Line 301">
          <a:extLst>
            <a:ext uri="{FF2B5EF4-FFF2-40B4-BE49-F238E27FC236}">
              <a16:creationId xmlns:a16="http://schemas.microsoft.com/office/drawing/2014/main" id="{253ED760-F75D-4DFB-9B56-C63DD8B16B72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55" name="Line 302">
          <a:extLst>
            <a:ext uri="{FF2B5EF4-FFF2-40B4-BE49-F238E27FC236}">
              <a16:creationId xmlns:a16="http://schemas.microsoft.com/office/drawing/2014/main" id="{9CD2A857-1B41-4897-AEF5-198A1A44759F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56" name="Line 303">
          <a:extLst>
            <a:ext uri="{FF2B5EF4-FFF2-40B4-BE49-F238E27FC236}">
              <a16:creationId xmlns:a16="http://schemas.microsoft.com/office/drawing/2014/main" id="{7FE1DB65-7CE1-4BEC-B3E9-7BFCA488C8D6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57" name="Line 34">
          <a:extLst>
            <a:ext uri="{FF2B5EF4-FFF2-40B4-BE49-F238E27FC236}">
              <a16:creationId xmlns:a16="http://schemas.microsoft.com/office/drawing/2014/main" id="{440B292F-24D7-4AA4-A3E5-4ED9054385F8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58" name="Line 35">
          <a:extLst>
            <a:ext uri="{FF2B5EF4-FFF2-40B4-BE49-F238E27FC236}">
              <a16:creationId xmlns:a16="http://schemas.microsoft.com/office/drawing/2014/main" id="{678D4CDC-F3AD-404E-967C-DF044540A932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59" name="Line 36">
          <a:extLst>
            <a:ext uri="{FF2B5EF4-FFF2-40B4-BE49-F238E27FC236}">
              <a16:creationId xmlns:a16="http://schemas.microsoft.com/office/drawing/2014/main" id="{26B0FD09-7F04-4AD4-9B01-86CBBED0E23E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60" name="Line 301">
          <a:extLst>
            <a:ext uri="{FF2B5EF4-FFF2-40B4-BE49-F238E27FC236}">
              <a16:creationId xmlns:a16="http://schemas.microsoft.com/office/drawing/2014/main" id="{C52801A7-0C4D-4783-B2FD-64145351B771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61" name="Line 302">
          <a:extLst>
            <a:ext uri="{FF2B5EF4-FFF2-40B4-BE49-F238E27FC236}">
              <a16:creationId xmlns:a16="http://schemas.microsoft.com/office/drawing/2014/main" id="{990714E9-1471-4D80-BA72-670E2DF66624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62" name="Line 303">
          <a:extLst>
            <a:ext uri="{FF2B5EF4-FFF2-40B4-BE49-F238E27FC236}">
              <a16:creationId xmlns:a16="http://schemas.microsoft.com/office/drawing/2014/main" id="{12B0C7F0-554E-4BC9-961A-8ECFA256FC1D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63" name="Line 34">
          <a:extLst>
            <a:ext uri="{FF2B5EF4-FFF2-40B4-BE49-F238E27FC236}">
              <a16:creationId xmlns:a16="http://schemas.microsoft.com/office/drawing/2014/main" id="{87CDD667-0959-4D28-BB1E-9F5E4D2E69EC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64" name="Line 35">
          <a:extLst>
            <a:ext uri="{FF2B5EF4-FFF2-40B4-BE49-F238E27FC236}">
              <a16:creationId xmlns:a16="http://schemas.microsoft.com/office/drawing/2014/main" id="{05826D67-4F32-4622-BF8C-5FE04EBF6781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65" name="Line 36">
          <a:extLst>
            <a:ext uri="{FF2B5EF4-FFF2-40B4-BE49-F238E27FC236}">
              <a16:creationId xmlns:a16="http://schemas.microsoft.com/office/drawing/2014/main" id="{485FD933-5D4B-415E-AC47-ECE89DB97BB1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66" name="Line 301">
          <a:extLst>
            <a:ext uri="{FF2B5EF4-FFF2-40B4-BE49-F238E27FC236}">
              <a16:creationId xmlns:a16="http://schemas.microsoft.com/office/drawing/2014/main" id="{126F596F-628F-42C3-9A3A-844DDFFDC55B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67" name="Line 302">
          <a:extLst>
            <a:ext uri="{FF2B5EF4-FFF2-40B4-BE49-F238E27FC236}">
              <a16:creationId xmlns:a16="http://schemas.microsoft.com/office/drawing/2014/main" id="{1C432A5F-54D0-4CC6-B09D-ACE704C16805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68" name="Line 303">
          <a:extLst>
            <a:ext uri="{FF2B5EF4-FFF2-40B4-BE49-F238E27FC236}">
              <a16:creationId xmlns:a16="http://schemas.microsoft.com/office/drawing/2014/main" id="{FDC4A64B-80AC-4320-B1D6-29B318B42D6C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69" name="Line 34">
          <a:extLst>
            <a:ext uri="{FF2B5EF4-FFF2-40B4-BE49-F238E27FC236}">
              <a16:creationId xmlns:a16="http://schemas.microsoft.com/office/drawing/2014/main" id="{594A23BB-8DDB-4DE7-A7E2-BEB391C9B4FC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70" name="Line 35">
          <a:extLst>
            <a:ext uri="{FF2B5EF4-FFF2-40B4-BE49-F238E27FC236}">
              <a16:creationId xmlns:a16="http://schemas.microsoft.com/office/drawing/2014/main" id="{A511DB8F-262F-4384-8C48-93A4F1D85DF8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71" name="Line 36">
          <a:extLst>
            <a:ext uri="{FF2B5EF4-FFF2-40B4-BE49-F238E27FC236}">
              <a16:creationId xmlns:a16="http://schemas.microsoft.com/office/drawing/2014/main" id="{10BC5408-52F2-42D0-B188-53CB744E4B8D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72" name="Line 301">
          <a:extLst>
            <a:ext uri="{FF2B5EF4-FFF2-40B4-BE49-F238E27FC236}">
              <a16:creationId xmlns:a16="http://schemas.microsoft.com/office/drawing/2014/main" id="{431800B8-F6CC-4C7C-BB5B-DCF8F3C12449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73" name="Line 302">
          <a:extLst>
            <a:ext uri="{FF2B5EF4-FFF2-40B4-BE49-F238E27FC236}">
              <a16:creationId xmlns:a16="http://schemas.microsoft.com/office/drawing/2014/main" id="{F4421710-77FB-4A58-8CD9-A4E595EA461D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74" name="Line 303">
          <a:extLst>
            <a:ext uri="{FF2B5EF4-FFF2-40B4-BE49-F238E27FC236}">
              <a16:creationId xmlns:a16="http://schemas.microsoft.com/office/drawing/2014/main" id="{21871D27-055C-443A-AB03-229249B6DB2F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75" name="Line 34">
          <a:extLst>
            <a:ext uri="{FF2B5EF4-FFF2-40B4-BE49-F238E27FC236}">
              <a16:creationId xmlns:a16="http://schemas.microsoft.com/office/drawing/2014/main" id="{3BD60514-0842-4DBC-B4AB-D0877AD71B72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76" name="Line 35">
          <a:extLst>
            <a:ext uri="{FF2B5EF4-FFF2-40B4-BE49-F238E27FC236}">
              <a16:creationId xmlns:a16="http://schemas.microsoft.com/office/drawing/2014/main" id="{B9602E42-E98B-46E2-8EEC-95A7C105830A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77" name="Line 36">
          <a:extLst>
            <a:ext uri="{FF2B5EF4-FFF2-40B4-BE49-F238E27FC236}">
              <a16:creationId xmlns:a16="http://schemas.microsoft.com/office/drawing/2014/main" id="{6C779D43-13EE-4188-BD85-DB3771359432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78" name="Line 301">
          <a:extLst>
            <a:ext uri="{FF2B5EF4-FFF2-40B4-BE49-F238E27FC236}">
              <a16:creationId xmlns:a16="http://schemas.microsoft.com/office/drawing/2014/main" id="{3ABAFCAB-EB4D-4F85-AC0E-C9557BE14753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79" name="Line 302">
          <a:extLst>
            <a:ext uri="{FF2B5EF4-FFF2-40B4-BE49-F238E27FC236}">
              <a16:creationId xmlns:a16="http://schemas.microsoft.com/office/drawing/2014/main" id="{C3A186E3-F7AB-4D2E-B9DB-A82D66BAAF7B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80" name="Line 303">
          <a:extLst>
            <a:ext uri="{FF2B5EF4-FFF2-40B4-BE49-F238E27FC236}">
              <a16:creationId xmlns:a16="http://schemas.microsoft.com/office/drawing/2014/main" id="{07FF8A20-618D-463F-AF9A-4684CCE22A2D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81" name="Line 34">
          <a:extLst>
            <a:ext uri="{FF2B5EF4-FFF2-40B4-BE49-F238E27FC236}">
              <a16:creationId xmlns:a16="http://schemas.microsoft.com/office/drawing/2014/main" id="{1B99CA7E-464C-4F41-B313-4872AD99AF3A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82" name="Line 35">
          <a:extLst>
            <a:ext uri="{FF2B5EF4-FFF2-40B4-BE49-F238E27FC236}">
              <a16:creationId xmlns:a16="http://schemas.microsoft.com/office/drawing/2014/main" id="{31336501-1826-40EA-8230-DD0EB0E30574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83" name="Line 36">
          <a:extLst>
            <a:ext uri="{FF2B5EF4-FFF2-40B4-BE49-F238E27FC236}">
              <a16:creationId xmlns:a16="http://schemas.microsoft.com/office/drawing/2014/main" id="{179660A3-707E-4362-8F40-3B231304F772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84" name="Line 301">
          <a:extLst>
            <a:ext uri="{FF2B5EF4-FFF2-40B4-BE49-F238E27FC236}">
              <a16:creationId xmlns:a16="http://schemas.microsoft.com/office/drawing/2014/main" id="{DCCDA09C-8674-40FF-9727-1D3A947A3D4A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85" name="Line 302">
          <a:extLst>
            <a:ext uri="{FF2B5EF4-FFF2-40B4-BE49-F238E27FC236}">
              <a16:creationId xmlns:a16="http://schemas.microsoft.com/office/drawing/2014/main" id="{02116FE7-AFFD-4403-940A-E876F4DD4179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86" name="Line 303">
          <a:extLst>
            <a:ext uri="{FF2B5EF4-FFF2-40B4-BE49-F238E27FC236}">
              <a16:creationId xmlns:a16="http://schemas.microsoft.com/office/drawing/2014/main" id="{29F1309A-6E4B-476F-8E9D-3BD2A3BE53D4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87" name="Line 34">
          <a:extLst>
            <a:ext uri="{FF2B5EF4-FFF2-40B4-BE49-F238E27FC236}">
              <a16:creationId xmlns:a16="http://schemas.microsoft.com/office/drawing/2014/main" id="{83BA0B22-79A0-44A1-8AFA-656F70FDD286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88" name="Line 35">
          <a:extLst>
            <a:ext uri="{FF2B5EF4-FFF2-40B4-BE49-F238E27FC236}">
              <a16:creationId xmlns:a16="http://schemas.microsoft.com/office/drawing/2014/main" id="{E188322D-32EA-4DFF-AAD1-15F58A415C22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89" name="Line 36">
          <a:extLst>
            <a:ext uri="{FF2B5EF4-FFF2-40B4-BE49-F238E27FC236}">
              <a16:creationId xmlns:a16="http://schemas.microsoft.com/office/drawing/2014/main" id="{8596AF8C-3A09-4EA1-85D3-47B178FA5638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90" name="Line 301">
          <a:extLst>
            <a:ext uri="{FF2B5EF4-FFF2-40B4-BE49-F238E27FC236}">
              <a16:creationId xmlns:a16="http://schemas.microsoft.com/office/drawing/2014/main" id="{9E681330-6131-4A59-97BB-44F6008A2984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91" name="Line 302">
          <a:extLst>
            <a:ext uri="{FF2B5EF4-FFF2-40B4-BE49-F238E27FC236}">
              <a16:creationId xmlns:a16="http://schemas.microsoft.com/office/drawing/2014/main" id="{06E521AF-9B7F-4BFD-9A56-C8638F92620E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92" name="Line 303">
          <a:extLst>
            <a:ext uri="{FF2B5EF4-FFF2-40B4-BE49-F238E27FC236}">
              <a16:creationId xmlns:a16="http://schemas.microsoft.com/office/drawing/2014/main" id="{BBB18920-2CEE-4A23-9DE3-CB5F589D1C88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93" name="Line 34">
          <a:extLst>
            <a:ext uri="{FF2B5EF4-FFF2-40B4-BE49-F238E27FC236}">
              <a16:creationId xmlns:a16="http://schemas.microsoft.com/office/drawing/2014/main" id="{A80C80E8-C6D4-4CEF-A6C6-04A37C9323A1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94" name="Line 35">
          <a:extLst>
            <a:ext uri="{FF2B5EF4-FFF2-40B4-BE49-F238E27FC236}">
              <a16:creationId xmlns:a16="http://schemas.microsoft.com/office/drawing/2014/main" id="{45DBAE34-D09F-4B88-A6AC-5996C5A3E903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95" name="Line 36">
          <a:extLst>
            <a:ext uri="{FF2B5EF4-FFF2-40B4-BE49-F238E27FC236}">
              <a16:creationId xmlns:a16="http://schemas.microsoft.com/office/drawing/2014/main" id="{8E3AFAD0-6F61-47A2-8E91-B0EAB9419B9C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96" name="Line 301">
          <a:extLst>
            <a:ext uri="{FF2B5EF4-FFF2-40B4-BE49-F238E27FC236}">
              <a16:creationId xmlns:a16="http://schemas.microsoft.com/office/drawing/2014/main" id="{1D3420D0-EDA9-4783-80EB-D8CC8EC457F6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97" name="Line 302">
          <a:extLst>
            <a:ext uri="{FF2B5EF4-FFF2-40B4-BE49-F238E27FC236}">
              <a16:creationId xmlns:a16="http://schemas.microsoft.com/office/drawing/2014/main" id="{6B908A25-2491-4276-84A1-295664A1D488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98" name="Line 303">
          <a:extLst>
            <a:ext uri="{FF2B5EF4-FFF2-40B4-BE49-F238E27FC236}">
              <a16:creationId xmlns:a16="http://schemas.microsoft.com/office/drawing/2014/main" id="{342A8EF1-4F7E-4E6E-BBB6-1B84C96B5021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299" name="Line 34">
          <a:extLst>
            <a:ext uri="{FF2B5EF4-FFF2-40B4-BE49-F238E27FC236}">
              <a16:creationId xmlns:a16="http://schemas.microsoft.com/office/drawing/2014/main" id="{AEAD60E1-6603-49C2-8ACA-6416152371BE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00" name="Line 35">
          <a:extLst>
            <a:ext uri="{FF2B5EF4-FFF2-40B4-BE49-F238E27FC236}">
              <a16:creationId xmlns:a16="http://schemas.microsoft.com/office/drawing/2014/main" id="{9CB05C21-92CF-4D49-AE6A-BEEE39D47076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01" name="Line 36">
          <a:extLst>
            <a:ext uri="{FF2B5EF4-FFF2-40B4-BE49-F238E27FC236}">
              <a16:creationId xmlns:a16="http://schemas.microsoft.com/office/drawing/2014/main" id="{F4FAFDF3-0DB2-42F5-8C88-236572AB9B06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02" name="Line 301">
          <a:extLst>
            <a:ext uri="{FF2B5EF4-FFF2-40B4-BE49-F238E27FC236}">
              <a16:creationId xmlns:a16="http://schemas.microsoft.com/office/drawing/2014/main" id="{93FFFCED-EFFC-4E6A-8914-4C507C045B73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03" name="Line 302">
          <a:extLst>
            <a:ext uri="{FF2B5EF4-FFF2-40B4-BE49-F238E27FC236}">
              <a16:creationId xmlns:a16="http://schemas.microsoft.com/office/drawing/2014/main" id="{5FED0013-020E-4151-ACAF-8C461CB81179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04" name="Line 303">
          <a:extLst>
            <a:ext uri="{FF2B5EF4-FFF2-40B4-BE49-F238E27FC236}">
              <a16:creationId xmlns:a16="http://schemas.microsoft.com/office/drawing/2014/main" id="{70A0F888-93BF-4114-B04E-21030B62884A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05" name="Line 34">
          <a:extLst>
            <a:ext uri="{FF2B5EF4-FFF2-40B4-BE49-F238E27FC236}">
              <a16:creationId xmlns:a16="http://schemas.microsoft.com/office/drawing/2014/main" id="{F8DD915F-2651-4B88-BE80-B933C1F8A4EA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06" name="Line 35">
          <a:extLst>
            <a:ext uri="{FF2B5EF4-FFF2-40B4-BE49-F238E27FC236}">
              <a16:creationId xmlns:a16="http://schemas.microsoft.com/office/drawing/2014/main" id="{CE0964AE-A942-49D3-87E9-3131784D2832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07" name="Line 36">
          <a:extLst>
            <a:ext uri="{FF2B5EF4-FFF2-40B4-BE49-F238E27FC236}">
              <a16:creationId xmlns:a16="http://schemas.microsoft.com/office/drawing/2014/main" id="{DA28B32B-5386-4EE3-BE19-821FB90737E2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08" name="Line 301">
          <a:extLst>
            <a:ext uri="{FF2B5EF4-FFF2-40B4-BE49-F238E27FC236}">
              <a16:creationId xmlns:a16="http://schemas.microsoft.com/office/drawing/2014/main" id="{585B5F15-BD89-4AB5-8D8F-DA58E875CE83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09" name="Line 302">
          <a:extLst>
            <a:ext uri="{FF2B5EF4-FFF2-40B4-BE49-F238E27FC236}">
              <a16:creationId xmlns:a16="http://schemas.microsoft.com/office/drawing/2014/main" id="{457A0D8E-EE1A-4A7A-A72A-C7FA5CEB9D10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10" name="Line 303">
          <a:extLst>
            <a:ext uri="{FF2B5EF4-FFF2-40B4-BE49-F238E27FC236}">
              <a16:creationId xmlns:a16="http://schemas.microsoft.com/office/drawing/2014/main" id="{FE21292F-60AF-4D43-98DD-AD3CE56F5194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11" name="Line 34">
          <a:extLst>
            <a:ext uri="{FF2B5EF4-FFF2-40B4-BE49-F238E27FC236}">
              <a16:creationId xmlns:a16="http://schemas.microsoft.com/office/drawing/2014/main" id="{038E3341-0E69-4532-BDEC-AFCC25C619A0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12" name="Line 35">
          <a:extLst>
            <a:ext uri="{FF2B5EF4-FFF2-40B4-BE49-F238E27FC236}">
              <a16:creationId xmlns:a16="http://schemas.microsoft.com/office/drawing/2014/main" id="{B97DB198-DA13-467E-B832-A8DE8EFDEA1E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13" name="Line 36">
          <a:extLst>
            <a:ext uri="{FF2B5EF4-FFF2-40B4-BE49-F238E27FC236}">
              <a16:creationId xmlns:a16="http://schemas.microsoft.com/office/drawing/2014/main" id="{2D6FDB96-5738-4D5F-A9BE-F7C8F3B48DDD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14" name="Line 301">
          <a:extLst>
            <a:ext uri="{FF2B5EF4-FFF2-40B4-BE49-F238E27FC236}">
              <a16:creationId xmlns:a16="http://schemas.microsoft.com/office/drawing/2014/main" id="{78DEF3A1-E3A1-4E93-9D38-38B38F229211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15" name="Line 302">
          <a:extLst>
            <a:ext uri="{FF2B5EF4-FFF2-40B4-BE49-F238E27FC236}">
              <a16:creationId xmlns:a16="http://schemas.microsoft.com/office/drawing/2014/main" id="{FE94C86D-81B8-4788-B82D-44D7D9A8FB2B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16" name="Line 303">
          <a:extLst>
            <a:ext uri="{FF2B5EF4-FFF2-40B4-BE49-F238E27FC236}">
              <a16:creationId xmlns:a16="http://schemas.microsoft.com/office/drawing/2014/main" id="{A458D004-86FB-4292-94D6-B2362BB44CA0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17" name="Line 34">
          <a:extLst>
            <a:ext uri="{FF2B5EF4-FFF2-40B4-BE49-F238E27FC236}">
              <a16:creationId xmlns:a16="http://schemas.microsoft.com/office/drawing/2014/main" id="{7955BB99-1043-4C90-8821-54F39048E7D8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18" name="Line 35">
          <a:extLst>
            <a:ext uri="{FF2B5EF4-FFF2-40B4-BE49-F238E27FC236}">
              <a16:creationId xmlns:a16="http://schemas.microsoft.com/office/drawing/2014/main" id="{C463C44B-EA0D-4B21-872B-461C43CF2FA9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19" name="Line 36">
          <a:extLst>
            <a:ext uri="{FF2B5EF4-FFF2-40B4-BE49-F238E27FC236}">
              <a16:creationId xmlns:a16="http://schemas.microsoft.com/office/drawing/2014/main" id="{1906B3F5-7A60-4F77-B3E4-279A630EC274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20" name="Line 301">
          <a:extLst>
            <a:ext uri="{FF2B5EF4-FFF2-40B4-BE49-F238E27FC236}">
              <a16:creationId xmlns:a16="http://schemas.microsoft.com/office/drawing/2014/main" id="{72C5355C-805D-4D57-AE3F-C7FD7A6CA2A1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21" name="Line 302">
          <a:extLst>
            <a:ext uri="{FF2B5EF4-FFF2-40B4-BE49-F238E27FC236}">
              <a16:creationId xmlns:a16="http://schemas.microsoft.com/office/drawing/2014/main" id="{2C495911-F62C-4CF2-B45F-6A775222AE3D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22" name="Line 303">
          <a:extLst>
            <a:ext uri="{FF2B5EF4-FFF2-40B4-BE49-F238E27FC236}">
              <a16:creationId xmlns:a16="http://schemas.microsoft.com/office/drawing/2014/main" id="{D04423B0-4957-42A7-AC2E-F80F24136723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23" name="Line 34">
          <a:extLst>
            <a:ext uri="{FF2B5EF4-FFF2-40B4-BE49-F238E27FC236}">
              <a16:creationId xmlns:a16="http://schemas.microsoft.com/office/drawing/2014/main" id="{E783D1D1-7A9C-4505-8ED2-3B32B097AFEA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24" name="Line 35">
          <a:extLst>
            <a:ext uri="{FF2B5EF4-FFF2-40B4-BE49-F238E27FC236}">
              <a16:creationId xmlns:a16="http://schemas.microsoft.com/office/drawing/2014/main" id="{5A5BD07D-CAFB-4878-AB04-04224754B6F4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25" name="Line 36">
          <a:extLst>
            <a:ext uri="{FF2B5EF4-FFF2-40B4-BE49-F238E27FC236}">
              <a16:creationId xmlns:a16="http://schemas.microsoft.com/office/drawing/2014/main" id="{24146BED-DFFC-4742-A6C1-6F4FF4B21065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26" name="Line 301">
          <a:extLst>
            <a:ext uri="{FF2B5EF4-FFF2-40B4-BE49-F238E27FC236}">
              <a16:creationId xmlns:a16="http://schemas.microsoft.com/office/drawing/2014/main" id="{294DE6D5-9FB5-4F2D-B615-351C0A2D11EB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27" name="Line 302">
          <a:extLst>
            <a:ext uri="{FF2B5EF4-FFF2-40B4-BE49-F238E27FC236}">
              <a16:creationId xmlns:a16="http://schemas.microsoft.com/office/drawing/2014/main" id="{C7CC33DA-5C93-4583-8225-18B8E6BE3D2D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28" name="Line 303">
          <a:extLst>
            <a:ext uri="{FF2B5EF4-FFF2-40B4-BE49-F238E27FC236}">
              <a16:creationId xmlns:a16="http://schemas.microsoft.com/office/drawing/2014/main" id="{78DB3357-36D8-41A2-8504-D76E242762D7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29" name="Line 34">
          <a:extLst>
            <a:ext uri="{FF2B5EF4-FFF2-40B4-BE49-F238E27FC236}">
              <a16:creationId xmlns:a16="http://schemas.microsoft.com/office/drawing/2014/main" id="{47E28823-EAF0-4BA4-BF39-0A7C45F7E31B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30" name="Line 35">
          <a:extLst>
            <a:ext uri="{FF2B5EF4-FFF2-40B4-BE49-F238E27FC236}">
              <a16:creationId xmlns:a16="http://schemas.microsoft.com/office/drawing/2014/main" id="{EFF4147B-E646-4DCC-90F2-5955EA372530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31" name="Line 36">
          <a:extLst>
            <a:ext uri="{FF2B5EF4-FFF2-40B4-BE49-F238E27FC236}">
              <a16:creationId xmlns:a16="http://schemas.microsoft.com/office/drawing/2014/main" id="{09E5EB82-720B-4667-95F7-8573D9A70CA8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32" name="Line 301">
          <a:extLst>
            <a:ext uri="{FF2B5EF4-FFF2-40B4-BE49-F238E27FC236}">
              <a16:creationId xmlns:a16="http://schemas.microsoft.com/office/drawing/2014/main" id="{5542D47B-C7B5-421F-BB87-CE103A637840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33" name="Line 302">
          <a:extLst>
            <a:ext uri="{FF2B5EF4-FFF2-40B4-BE49-F238E27FC236}">
              <a16:creationId xmlns:a16="http://schemas.microsoft.com/office/drawing/2014/main" id="{841D46D1-7634-4E84-9F20-AB55C1B52CE8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228600</xdr:rowOff>
    </xdr:from>
    <xdr:to>
      <xdr:col>15</xdr:col>
      <xdr:colOff>19050</xdr:colOff>
      <xdr:row>3</xdr:row>
      <xdr:rowOff>9525</xdr:rowOff>
    </xdr:to>
    <xdr:sp macro="" textlink="">
      <xdr:nvSpPr>
        <xdr:cNvPr id="334" name="Line 303">
          <a:extLst>
            <a:ext uri="{FF2B5EF4-FFF2-40B4-BE49-F238E27FC236}">
              <a16:creationId xmlns:a16="http://schemas.microsoft.com/office/drawing/2014/main" id="{C1FD4694-4089-4481-BE14-E1B6162B478C}"/>
            </a:ext>
          </a:extLst>
        </xdr:cNvPr>
        <xdr:cNvSpPr>
          <a:spLocks noChangeShapeType="1"/>
        </xdr:cNvSpPr>
      </xdr:nvSpPr>
      <xdr:spPr bwMode="auto">
        <a:xfrm flipH="1" flipV="1">
          <a:off x="627697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35" name="Line 34">
          <a:extLst>
            <a:ext uri="{FF2B5EF4-FFF2-40B4-BE49-F238E27FC236}">
              <a16:creationId xmlns:a16="http://schemas.microsoft.com/office/drawing/2014/main" id="{FA398FDF-7DEC-437A-B1B3-E757A8E7EC45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36" name="Line 35">
          <a:extLst>
            <a:ext uri="{FF2B5EF4-FFF2-40B4-BE49-F238E27FC236}">
              <a16:creationId xmlns:a16="http://schemas.microsoft.com/office/drawing/2014/main" id="{BA333E41-A010-43A3-8DDE-5A18A4B5C9EB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37" name="Line 36">
          <a:extLst>
            <a:ext uri="{FF2B5EF4-FFF2-40B4-BE49-F238E27FC236}">
              <a16:creationId xmlns:a16="http://schemas.microsoft.com/office/drawing/2014/main" id="{BDEAC853-362B-4947-8CB8-F1D46F76A72D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38" name="Line 301">
          <a:extLst>
            <a:ext uri="{FF2B5EF4-FFF2-40B4-BE49-F238E27FC236}">
              <a16:creationId xmlns:a16="http://schemas.microsoft.com/office/drawing/2014/main" id="{18046BCA-D3CB-456F-9F82-C53AE8B46F23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39" name="Line 302">
          <a:extLst>
            <a:ext uri="{FF2B5EF4-FFF2-40B4-BE49-F238E27FC236}">
              <a16:creationId xmlns:a16="http://schemas.microsoft.com/office/drawing/2014/main" id="{45464C0D-5D42-4578-BF17-FEEE3447730B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40" name="Line 303">
          <a:extLst>
            <a:ext uri="{FF2B5EF4-FFF2-40B4-BE49-F238E27FC236}">
              <a16:creationId xmlns:a16="http://schemas.microsoft.com/office/drawing/2014/main" id="{3069446A-EA78-490C-A420-55856073679D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41" name="Line 34">
          <a:extLst>
            <a:ext uri="{FF2B5EF4-FFF2-40B4-BE49-F238E27FC236}">
              <a16:creationId xmlns:a16="http://schemas.microsoft.com/office/drawing/2014/main" id="{DF379A1B-D0AA-4727-A72D-D1EE30C4CFB4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42" name="Line 35">
          <a:extLst>
            <a:ext uri="{FF2B5EF4-FFF2-40B4-BE49-F238E27FC236}">
              <a16:creationId xmlns:a16="http://schemas.microsoft.com/office/drawing/2014/main" id="{7E9F61C9-460D-4318-B27B-52FAC8369036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43" name="Line 36">
          <a:extLst>
            <a:ext uri="{FF2B5EF4-FFF2-40B4-BE49-F238E27FC236}">
              <a16:creationId xmlns:a16="http://schemas.microsoft.com/office/drawing/2014/main" id="{2FA2BBF9-13B6-4F60-9EC4-9E37E3A23D27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44" name="Line 301">
          <a:extLst>
            <a:ext uri="{FF2B5EF4-FFF2-40B4-BE49-F238E27FC236}">
              <a16:creationId xmlns:a16="http://schemas.microsoft.com/office/drawing/2014/main" id="{4B88EC84-C8B3-4081-BE1A-D74B158D0323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45" name="Line 302">
          <a:extLst>
            <a:ext uri="{FF2B5EF4-FFF2-40B4-BE49-F238E27FC236}">
              <a16:creationId xmlns:a16="http://schemas.microsoft.com/office/drawing/2014/main" id="{1B0F738A-93B5-49A8-9E63-FD8BC2E5A3DE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46" name="Line 303">
          <a:extLst>
            <a:ext uri="{FF2B5EF4-FFF2-40B4-BE49-F238E27FC236}">
              <a16:creationId xmlns:a16="http://schemas.microsoft.com/office/drawing/2014/main" id="{A4494C0C-B470-4322-8CD9-7C41CF24F279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47" name="Line 34">
          <a:extLst>
            <a:ext uri="{FF2B5EF4-FFF2-40B4-BE49-F238E27FC236}">
              <a16:creationId xmlns:a16="http://schemas.microsoft.com/office/drawing/2014/main" id="{5538C467-F3AC-41EB-B7C6-691390BBE8DC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48" name="Line 35">
          <a:extLst>
            <a:ext uri="{FF2B5EF4-FFF2-40B4-BE49-F238E27FC236}">
              <a16:creationId xmlns:a16="http://schemas.microsoft.com/office/drawing/2014/main" id="{CED43ABD-382B-47AB-BF22-48D330F51262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49" name="Line 36">
          <a:extLst>
            <a:ext uri="{FF2B5EF4-FFF2-40B4-BE49-F238E27FC236}">
              <a16:creationId xmlns:a16="http://schemas.microsoft.com/office/drawing/2014/main" id="{538FFBE4-C7D8-484E-8D99-1A0DF395EBD1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50" name="Line 301">
          <a:extLst>
            <a:ext uri="{FF2B5EF4-FFF2-40B4-BE49-F238E27FC236}">
              <a16:creationId xmlns:a16="http://schemas.microsoft.com/office/drawing/2014/main" id="{6A1D013E-17CB-44BF-A819-A199730A456E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51" name="Line 302">
          <a:extLst>
            <a:ext uri="{FF2B5EF4-FFF2-40B4-BE49-F238E27FC236}">
              <a16:creationId xmlns:a16="http://schemas.microsoft.com/office/drawing/2014/main" id="{DD4D803C-B5A0-4F12-B9B9-1C9192BF933A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52" name="Line 303">
          <a:extLst>
            <a:ext uri="{FF2B5EF4-FFF2-40B4-BE49-F238E27FC236}">
              <a16:creationId xmlns:a16="http://schemas.microsoft.com/office/drawing/2014/main" id="{524BF925-8F97-47E5-9E89-D328B8FEC921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53" name="Line 34">
          <a:extLst>
            <a:ext uri="{FF2B5EF4-FFF2-40B4-BE49-F238E27FC236}">
              <a16:creationId xmlns:a16="http://schemas.microsoft.com/office/drawing/2014/main" id="{69BABDB9-B0BA-4BAF-9270-75FDCD653562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54" name="Line 35">
          <a:extLst>
            <a:ext uri="{FF2B5EF4-FFF2-40B4-BE49-F238E27FC236}">
              <a16:creationId xmlns:a16="http://schemas.microsoft.com/office/drawing/2014/main" id="{C7DE38A5-1D8D-4837-9CB9-DB9DE5170222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55" name="Line 36">
          <a:extLst>
            <a:ext uri="{FF2B5EF4-FFF2-40B4-BE49-F238E27FC236}">
              <a16:creationId xmlns:a16="http://schemas.microsoft.com/office/drawing/2014/main" id="{EF18E14F-4A20-4815-AB68-37312E311763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56" name="Line 301">
          <a:extLst>
            <a:ext uri="{FF2B5EF4-FFF2-40B4-BE49-F238E27FC236}">
              <a16:creationId xmlns:a16="http://schemas.microsoft.com/office/drawing/2014/main" id="{0BDF5C12-948C-4D28-A94F-2B98A18505BD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57" name="Line 302">
          <a:extLst>
            <a:ext uri="{FF2B5EF4-FFF2-40B4-BE49-F238E27FC236}">
              <a16:creationId xmlns:a16="http://schemas.microsoft.com/office/drawing/2014/main" id="{BCC47D4E-D008-4C28-8FDC-52D9A1A3D59E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58" name="Line 303">
          <a:extLst>
            <a:ext uri="{FF2B5EF4-FFF2-40B4-BE49-F238E27FC236}">
              <a16:creationId xmlns:a16="http://schemas.microsoft.com/office/drawing/2014/main" id="{9B5A8644-B9EA-4AEE-B793-77D2C74849CE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59" name="Line 34">
          <a:extLst>
            <a:ext uri="{FF2B5EF4-FFF2-40B4-BE49-F238E27FC236}">
              <a16:creationId xmlns:a16="http://schemas.microsoft.com/office/drawing/2014/main" id="{A94B733C-AA97-4099-A132-478822E57F3F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60" name="Line 35">
          <a:extLst>
            <a:ext uri="{FF2B5EF4-FFF2-40B4-BE49-F238E27FC236}">
              <a16:creationId xmlns:a16="http://schemas.microsoft.com/office/drawing/2014/main" id="{313BC370-CA25-49D7-95EE-CB00CB5F04CD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61" name="Line 36">
          <a:extLst>
            <a:ext uri="{FF2B5EF4-FFF2-40B4-BE49-F238E27FC236}">
              <a16:creationId xmlns:a16="http://schemas.microsoft.com/office/drawing/2014/main" id="{95353FC4-E156-411A-9FFB-B60E9C7D9B26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62" name="Line 301">
          <a:extLst>
            <a:ext uri="{FF2B5EF4-FFF2-40B4-BE49-F238E27FC236}">
              <a16:creationId xmlns:a16="http://schemas.microsoft.com/office/drawing/2014/main" id="{3D58211D-547A-476C-92CD-493491D35B5E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63" name="Line 302">
          <a:extLst>
            <a:ext uri="{FF2B5EF4-FFF2-40B4-BE49-F238E27FC236}">
              <a16:creationId xmlns:a16="http://schemas.microsoft.com/office/drawing/2014/main" id="{11F05A51-E22A-4340-A3A3-E90C57C2FAB1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64" name="Line 303">
          <a:extLst>
            <a:ext uri="{FF2B5EF4-FFF2-40B4-BE49-F238E27FC236}">
              <a16:creationId xmlns:a16="http://schemas.microsoft.com/office/drawing/2014/main" id="{FD18061C-7872-4EFC-8CC0-DAB4D347CEFE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65" name="Line 34">
          <a:extLst>
            <a:ext uri="{FF2B5EF4-FFF2-40B4-BE49-F238E27FC236}">
              <a16:creationId xmlns:a16="http://schemas.microsoft.com/office/drawing/2014/main" id="{BF4F1B96-9871-40D1-8F2B-60A55B2A8516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66" name="Line 35">
          <a:extLst>
            <a:ext uri="{FF2B5EF4-FFF2-40B4-BE49-F238E27FC236}">
              <a16:creationId xmlns:a16="http://schemas.microsoft.com/office/drawing/2014/main" id="{BBE81098-1D7E-414C-A2ED-AE7913B29C4A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67" name="Line 36">
          <a:extLst>
            <a:ext uri="{FF2B5EF4-FFF2-40B4-BE49-F238E27FC236}">
              <a16:creationId xmlns:a16="http://schemas.microsoft.com/office/drawing/2014/main" id="{9AC4E51D-3864-4682-AB07-211731F0E50B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68" name="Line 301">
          <a:extLst>
            <a:ext uri="{FF2B5EF4-FFF2-40B4-BE49-F238E27FC236}">
              <a16:creationId xmlns:a16="http://schemas.microsoft.com/office/drawing/2014/main" id="{FE2370E2-8560-4C77-86AB-1BCD99739578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69" name="Line 302">
          <a:extLst>
            <a:ext uri="{FF2B5EF4-FFF2-40B4-BE49-F238E27FC236}">
              <a16:creationId xmlns:a16="http://schemas.microsoft.com/office/drawing/2014/main" id="{58171E99-CA42-416F-B1BF-9F56DA4DD2DE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70" name="Line 303">
          <a:extLst>
            <a:ext uri="{FF2B5EF4-FFF2-40B4-BE49-F238E27FC236}">
              <a16:creationId xmlns:a16="http://schemas.microsoft.com/office/drawing/2014/main" id="{43B2312B-C7B8-4763-BE3C-81F0E5EEBFF4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71" name="Line 34">
          <a:extLst>
            <a:ext uri="{FF2B5EF4-FFF2-40B4-BE49-F238E27FC236}">
              <a16:creationId xmlns:a16="http://schemas.microsoft.com/office/drawing/2014/main" id="{A30F7FB6-FA27-4CBF-9757-B13CC95F60E4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72" name="Line 35">
          <a:extLst>
            <a:ext uri="{FF2B5EF4-FFF2-40B4-BE49-F238E27FC236}">
              <a16:creationId xmlns:a16="http://schemas.microsoft.com/office/drawing/2014/main" id="{3928ADB4-5A03-48BE-B972-3C191756E43D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73" name="Line 36">
          <a:extLst>
            <a:ext uri="{FF2B5EF4-FFF2-40B4-BE49-F238E27FC236}">
              <a16:creationId xmlns:a16="http://schemas.microsoft.com/office/drawing/2014/main" id="{50C69D3C-AA71-4CE6-8D9C-17245D7283CF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74" name="Line 301">
          <a:extLst>
            <a:ext uri="{FF2B5EF4-FFF2-40B4-BE49-F238E27FC236}">
              <a16:creationId xmlns:a16="http://schemas.microsoft.com/office/drawing/2014/main" id="{83171D3C-EF6B-4531-9C09-3631490DBBE9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75" name="Line 302">
          <a:extLst>
            <a:ext uri="{FF2B5EF4-FFF2-40B4-BE49-F238E27FC236}">
              <a16:creationId xmlns:a16="http://schemas.microsoft.com/office/drawing/2014/main" id="{8F571480-EEC3-4867-9E67-84205A997DDC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76" name="Line 303">
          <a:extLst>
            <a:ext uri="{FF2B5EF4-FFF2-40B4-BE49-F238E27FC236}">
              <a16:creationId xmlns:a16="http://schemas.microsoft.com/office/drawing/2014/main" id="{1B9BEFD0-980D-4DAC-B4C6-4E97E6FF0B5A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77" name="Line 34">
          <a:extLst>
            <a:ext uri="{FF2B5EF4-FFF2-40B4-BE49-F238E27FC236}">
              <a16:creationId xmlns:a16="http://schemas.microsoft.com/office/drawing/2014/main" id="{C23789C6-FA04-4A02-9AED-4F50AAC83426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78" name="Line 35">
          <a:extLst>
            <a:ext uri="{FF2B5EF4-FFF2-40B4-BE49-F238E27FC236}">
              <a16:creationId xmlns:a16="http://schemas.microsoft.com/office/drawing/2014/main" id="{EC71A1DE-D986-4606-9999-C501F4F8013A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79" name="Line 36">
          <a:extLst>
            <a:ext uri="{FF2B5EF4-FFF2-40B4-BE49-F238E27FC236}">
              <a16:creationId xmlns:a16="http://schemas.microsoft.com/office/drawing/2014/main" id="{5FC59B4A-54C1-4D12-AADE-98DE91C93B9F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80" name="Line 301">
          <a:extLst>
            <a:ext uri="{FF2B5EF4-FFF2-40B4-BE49-F238E27FC236}">
              <a16:creationId xmlns:a16="http://schemas.microsoft.com/office/drawing/2014/main" id="{71F3A9F3-7A54-4B28-9BFC-9348A8F2F4B1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81" name="Line 302">
          <a:extLst>
            <a:ext uri="{FF2B5EF4-FFF2-40B4-BE49-F238E27FC236}">
              <a16:creationId xmlns:a16="http://schemas.microsoft.com/office/drawing/2014/main" id="{04840081-2792-411D-9528-7F17796C15B1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82" name="Line 303">
          <a:extLst>
            <a:ext uri="{FF2B5EF4-FFF2-40B4-BE49-F238E27FC236}">
              <a16:creationId xmlns:a16="http://schemas.microsoft.com/office/drawing/2014/main" id="{D6EAE542-EA73-4B14-A93B-F4FEA9247970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83" name="Line 34">
          <a:extLst>
            <a:ext uri="{FF2B5EF4-FFF2-40B4-BE49-F238E27FC236}">
              <a16:creationId xmlns:a16="http://schemas.microsoft.com/office/drawing/2014/main" id="{3D158527-811B-4955-9AEB-1C9E82A5A3C0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84" name="Line 35">
          <a:extLst>
            <a:ext uri="{FF2B5EF4-FFF2-40B4-BE49-F238E27FC236}">
              <a16:creationId xmlns:a16="http://schemas.microsoft.com/office/drawing/2014/main" id="{AD5AE5BA-460B-4AA9-995F-107BD612B705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85" name="Line 36">
          <a:extLst>
            <a:ext uri="{FF2B5EF4-FFF2-40B4-BE49-F238E27FC236}">
              <a16:creationId xmlns:a16="http://schemas.microsoft.com/office/drawing/2014/main" id="{F7DB70E5-8CD6-4FF1-AEE1-8D483C0EC12F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86" name="Line 301">
          <a:extLst>
            <a:ext uri="{FF2B5EF4-FFF2-40B4-BE49-F238E27FC236}">
              <a16:creationId xmlns:a16="http://schemas.microsoft.com/office/drawing/2014/main" id="{6456C514-6794-4141-A3C5-4E4597C72ABE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87" name="Line 302">
          <a:extLst>
            <a:ext uri="{FF2B5EF4-FFF2-40B4-BE49-F238E27FC236}">
              <a16:creationId xmlns:a16="http://schemas.microsoft.com/office/drawing/2014/main" id="{05541F65-22C4-4E1F-B5CB-C51E285C4732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88" name="Line 303">
          <a:extLst>
            <a:ext uri="{FF2B5EF4-FFF2-40B4-BE49-F238E27FC236}">
              <a16:creationId xmlns:a16="http://schemas.microsoft.com/office/drawing/2014/main" id="{463AD220-0063-4A3F-A51D-E615617AF8C3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89" name="Line 34">
          <a:extLst>
            <a:ext uri="{FF2B5EF4-FFF2-40B4-BE49-F238E27FC236}">
              <a16:creationId xmlns:a16="http://schemas.microsoft.com/office/drawing/2014/main" id="{6118BA8F-B403-4FD1-847F-56065ED0FD35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90" name="Line 35">
          <a:extLst>
            <a:ext uri="{FF2B5EF4-FFF2-40B4-BE49-F238E27FC236}">
              <a16:creationId xmlns:a16="http://schemas.microsoft.com/office/drawing/2014/main" id="{1334AEFE-ADEF-4ACF-B819-470E20500527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91" name="Line 36">
          <a:extLst>
            <a:ext uri="{FF2B5EF4-FFF2-40B4-BE49-F238E27FC236}">
              <a16:creationId xmlns:a16="http://schemas.microsoft.com/office/drawing/2014/main" id="{649D7E26-3B6E-488E-8A91-2D1B69F06CEA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92" name="Line 301">
          <a:extLst>
            <a:ext uri="{FF2B5EF4-FFF2-40B4-BE49-F238E27FC236}">
              <a16:creationId xmlns:a16="http://schemas.microsoft.com/office/drawing/2014/main" id="{42191C07-1B26-4DF5-AC2A-73E5DA1F527C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93" name="Line 302">
          <a:extLst>
            <a:ext uri="{FF2B5EF4-FFF2-40B4-BE49-F238E27FC236}">
              <a16:creationId xmlns:a16="http://schemas.microsoft.com/office/drawing/2014/main" id="{AECECC0C-B7AF-4027-A853-6D556E09772F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94" name="Line 303">
          <a:extLst>
            <a:ext uri="{FF2B5EF4-FFF2-40B4-BE49-F238E27FC236}">
              <a16:creationId xmlns:a16="http://schemas.microsoft.com/office/drawing/2014/main" id="{D69B688C-EF06-4709-ADC8-02E61AC81375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95" name="Line 34">
          <a:extLst>
            <a:ext uri="{FF2B5EF4-FFF2-40B4-BE49-F238E27FC236}">
              <a16:creationId xmlns:a16="http://schemas.microsoft.com/office/drawing/2014/main" id="{CD59B31B-9BB0-45EF-A69F-7E5DB9FC7D08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96" name="Line 35">
          <a:extLst>
            <a:ext uri="{FF2B5EF4-FFF2-40B4-BE49-F238E27FC236}">
              <a16:creationId xmlns:a16="http://schemas.microsoft.com/office/drawing/2014/main" id="{DC8AC14C-6D80-482E-9BC2-BC63007CB3ED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97" name="Line 36">
          <a:extLst>
            <a:ext uri="{FF2B5EF4-FFF2-40B4-BE49-F238E27FC236}">
              <a16:creationId xmlns:a16="http://schemas.microsoft.com/office/drawing/2014/main" id="{0245EB3C-8666-49C8-B1B0-44B6A53AE622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98" name="Line 301">
          <a:extLst>
            <a:ext uri="{FF2B5EF4-FFF2-40B4-BE49-F238E27FC236}">
              <a16:creationId xmlns:a16="http://schemas.microsoft.com/office/drawing/2014/main" id="{39832416-B0DD-43A9-880F-CD1886740DA2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399" name="Line 302">
          <a:extLst>
            <a:ext uri="{FF2B5EF4-FFF2-40B4-BE49-F238E27FC236}">
              <a16:creationId xmlns:a16="http://schemas.microsoft.com/office/drawing/2014/main" id="{B565D6CF-20CD-4BBD-B870-B36F924A6777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00" name="Line 303">
          <a:extLst>
            <a:ext uri="{FF2B5EF4-FFF2-40B4-BE49-F238E27FC236}">
              <a16:creationId xmlns:a16="http://schemas.microsoft.com/office/drawing/2014/main" id="{94D67FF1-A7BF-4DC1-8769-30197436A01C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01" name="Line 34">
          <a:extLst>
            <a:ext uri="{FF2B5EF4-FFF2-40B4-BE49-F238E27FC236}">
              <a16:creationId xmlns:a16="http://schemas.microsoft.com/office/drawing/2014/main" id="{41A254D5-0EB1-4D01-B37A-8B26DC99352F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02" name="Line 35">
          <a:extLst>
            <a:ext uri="{FF2B5EF4-FFF2-40B4-BE49-F238E27FC236}">
              <a16:creationId xmlns:a16="http://schemas.microsoft.com/office/drawing/2014/main" id="{B1F5A041-13D8-48BF-9D23-1173350781F2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03" name="Line 36">
          <a:extLst>
            <a:ext uri="{FF2B5EF4-FFF2-40B4-BE49-F238E27FC236}">
              <a16:creationId xmlns:a16="http://schemas.microsoft.com/office/drawing/2014/main" id="{CE8735B3-C00B-42C7-980F-085188FC3FE3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04" name="Line 301">
          <a:extLst>
            <a:ext uri="{FF2B5EF4-FFF2-40B4-BE49-F238E27FC236}">
              <a16:creationId xmlns:a16="http://schemas.microsoft.com/office/drawing/2014/main" id="{59351FB0-B59C-4788-9461-21D71568AD01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05" name="Line 302">
          <a:extLst>
            <a:ext uri="{FF2B5EF4-FFF2-40B4-BE49-F238E27FC236}">
              <a16:creationId xmlns:a16="http://schemas.microsoft.com/office/drawing/2014/main" id="{C9791A61-E865-4839-9175-424D00BE11BF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06" name="Line 303">
          <a:extLst>
            <a:ext uri="{FF2B5EF4-FFF2-40B4-BE49-F238E27FC236}">
              <a16:creationId xmlns:a16="http://schemas.microsoft.com/office/drawing/2014/main" id="{DD2D27A8-DA56-434D-A5E4-353029AC5B4D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07" name="Line 34">
          <a:extLst>
            <a:ext uri="{FF2B5EF4-FFF2-40B4-BE49-F238E27FC236}">
              <a16:creationId xmlns:a16="http://schemas.microsoft.com/office/drawing/2014/main" id="{7D63029F-A8EE-4B4E-8BEC-F391ABD309FE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08" name="Line 35">
          <a:extLst>
            <a:ext uri="{FF2B5EF4-FFF2-40B4-BE49-F238E27FC236}">
              <a16:creationId xmlns:a16="http://schemas.microsoft.com/office/drawing/2014/main" id="{6B1B3913-EA8F-4370-8521-D5A15B1E7D2D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09" name="Line 36">
          <a:extLst>
            <a:ext uri="{FF2B5EF4-FFF2-40B4-BE49-F238E27FC236}">
              <a16:creationId xmlns:a16="http://schemas.microsoft.com/office/drawing/2014/main" id="{03735F61-92C1-4F7E-A836-399055C37730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10" name="Line 301">
          <a:extLst>
            <a:ext uri="{FF2B5EF4-FFF2-40B4-BE49-F238E27FC236}">
              <a16:creationId xmlns:a16="http://schemas.microsoft.com/office/drawing/2014/main" id="{F274BA2C-2E12-44CF-9909-FC2359965219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11" name="Line 302">
          <a:extLst>
            <a:ext uri="{FF2B5EF4-FFF2-40B4-BE49-F238E27FC236}">
              <a16:creationId xmlns:a16="http://schemas.microsoft.com/office/drawing/2014/main" id="{3983D6F7-5401-41FF-9ECF-FE0D69E14F20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12" name="Line 303">
          <a:extLst>
            <a:ext uri="{FF2B5EF4-FFF2-40B4-BE49-F238E27FC236}">
              <a16:creationId xmlns:a16="http://schemas.microsoft.com/office/drawing/2014/main" id="{D4AB7977-D1CB-4135-92FF-EC28443918F3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13" name="Line 34">
          <a:extLst>
            <a:ext uri="{FF2B5EF4-FFF2-40B4-BE49-F238E27FC236}">
              <a16:creationId xmlns:a16="http://schemas.microsoft.com/office/drawing/2014/main" id="{BB500697-7C09-4861-904D-0AB836F12378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14" name="Line 35">
          <a:extLst>
            <a:ext uri="{FF2B5EF4-FFF2-40B4-BE49-F238E27FC236}">
              <a16:creationId xmlns:a16="http://schemas.microsoft.com/office/drawing/2014/main" id="{29A58E86-79BB-4101-A2AC-2BE01E9A4C39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15" name="Line 36">
          <a:extLst>
            <a:ext uri="{FF2B5EF4-FFF2-40B4-BE49-F238E27FC236}">
              <a16:creationId xmlns:a16="http://schemas.microsoft.com/office/drawing/2014/main" id="{593C7DBA-9EFA-49DB-AF39-BCA7D512B411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16" name="Line 301">
          <a:extLst>
            <a:ext uri="{FF2B5EF4-FFF2-40B4-BE49-F238E27FC236}">
              <a16:creationId xmlns:a16="http://schemas.microsoft.com/office/drawing/2014/main" id="{097AE1D8-A22D-42F8-86D7-DD04406B38C6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17" name="Line 302">
          <a:extLst>
            <a:ext uri="{FF2B5EF4-FFF2-40B4-BE49-F238E27FC236}">
              <a16:creationId xmlns:a16="http://schemas.microsoft.com/office/drawing/2014/main" id="{696B4230-6FD7-41E7-8F29-4BE0D8A58D11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18" name="Line 303">
          <a:extLst>
            <a:ext uri="{FF2B5EF4-FFF2-40B4-BE49-F238E27FC236}">
              <a16:creationId xmlns:a16="http://schemas.microsoft.com/office/drawing/2014/main" id="{00976413-B50D-4D50-AC84-A911AAFDD082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19" name="Line 34">
          <a:extLst>
            <a:ext uri="{FF2B5EF4-FFF2-40B4-BE49-F238E27FC236}">
              <a16:creationId xmlns:a16="http://schemas.microsoft.com/office/drawing/2014/main" id="{AED59593-2B37-4D9B-AFFE-C5373A50EBFC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20" name="Line 35">
          <a:extLst>
            <a:ext uri="{FF2B5EF4-FFF2-40B4-BE49-F238E27FC236}">
              <a16:creationId xmlns:a16="http://schemas.microsoft.com/office/drawing/2014/main" id="{1BAF6F25-7A70-4748-BBB6-455E771ECCB0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21" name="Line 36">
          <a:extLst>
            <a:ext uri="{FF2B5EF4-FFF2-40B4-BE49-F238E27FC236}">
              <a16:creationId xmlns:a16="http://schemas.microsoft.com/office/drawing/2014/main" id="{0409AFFD-C921-4F0A-96F5-3637D379ADEB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22" name="Line 301">
          <a:extLst>
            <a:ext uri="{FF2B5EF4-FFF2-40B4-BE49-F238E27FC236}">
              <a16:creationId xmlns:a16="http://schemas.microsoft.com/office/drawing/2014/main" id="{18B7CD36-9BBA-4D56-BD23-B9CF7D53205D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23" name="Line 302">
          <a:extLst>
            <a:ext uri="{FF2B5EF4-FFF2-40B4-BE49-F238E27FC236}">
              <a16:creationId xmlns:a16="http://schemas.microsoft.com/office/drawing/2014/main" id="{DE1E851A-CCF1-4FB2-8CC0-E555BFFB1694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</xdr:row>
      <xdr:rowOff>228600</xdr:rowOff>
    </xdr:from>
    <xdr:to>
      <xdr:col>19</xdr:col>
      <xdr:colOff>19050</xdr:colOff>
      <xdr:row>3</xdr:row>
      <xdr:rowOff>9525</xdr:rowOff>
    </xdr:to>
    <xdr:sp macro="" textlink="">
      <xdr:nvSpPr>
        <xdr:cNvPr id="424" name="Line 303">
          <a:extLst>
            <a:ext uri="{FF2B5EF4-FFF2-40B4-BE49-F238E27FC236}">
              <a16:creationId xmlns:a16="http://schemas.microsoft.com/office/drawing/2014/main" id="{3F8ECF9D-DAB6-48E6-8C74-7438036B9FC6}"/>
            </a:ext>
          </a:extLst>
        </xdr:cNvPr>
        <xdr:cNvSpPr>
          <a:spLocks noChangeShapeType="1"/>
        </xdr:cNvSpPr>
      </xdr:nvSpPr>
      <xdr:spPr bwMode="auto">
        <a:xfrm flipH="1" flipV="1">
          <a:off x="811530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25" name="Line 34">
          <a:extLst>
            <a:ext uri="{FF2B5EF4-FFF2-40B4-BE49-F238E27FC236}">
              <a16:creationId xmlns:a16="http://schemas.microsoft.com/office/drawing/2014/main" id="{A384CD8B-243D-4740-9692-F2F64AFFF559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26" name="Line 35">
          <a:extLst>
            <a:ext uri="{FF2B5EF4-FFF2-40B4-BE49-F238E27FC236}">
              <a16:creationId xmlns:a16="http://schemas.microsoft.com/office/drawing/2014/main" id="{BC48A051-15C2-4D08-BBB7-6489F79BDEF6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27" name="Line 36">
          <a:extLst>
            <a:ext uri="{FF2B5EF4-FFF2-40B4-BE49-F238E27FC236}">
              <a16:creationId xmlns:a16="http://schemas.microsoft.com/office/drawing/2014/main" id="{1543A44D-3288-4B1B-BD84-46E41197136F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28" name="Line 301">
          <a:extLst>
            <a:ext uri="{FF2B5EF4-FFF2-40B4-BE49-F238E27FC236}">
              <a16:creationId xmlns:a16="http://schemas.microsoft.com/office/drawing/2014/main" id="{CB5E9351-2B78-4F61-8A61-CD152068C558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29" name="Line 302">
          <a:extLst>
            <a:ext uri="{FF2B5EF4-FFF2-40B4-BE49-F238E27FC236}">
              <a16:creationId xmlns:a16="http://schemas.microsoft.com/office/drawing/2014/main" id="{B8AD33F4-707C-408A-9C99-54A009751691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30" name="Line 303">
          <a:extLst>
            <a:ext uri="{FF2B5EF4-FFF2-40B4-BE49-F238E27FC236}">
              <a16:creationId xmlns:a16="http://schemas.microsoft.com/office/drawing/2014/main" id="{47223416-D6D9-429F-9CBF-B9F4B2D9CB0E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31" name="Line 34">
          <a:extLst>
            <a:ext uri="{FF2B5EF4-FFF2-40B4-BE49-F238E27FC236}">
              <a16:creationId xmlns:a16="http://schemas.microsoft.com/office/drawing/2014/main" id="{1ED9BA3D-BC1A-4897-91B8-1F862F111176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32" name="Line 35">
          <a:extLst>
            <a:ext uri="{FF2B5EF4-FFF2-40B4-BE49-F238E27FC236}">
              <a16:creationId xmlns:a16="http://schemas.microsoft.com/office/drawing/2014/main" id="{E35E7338-577C-4EE3-B73F-E3B48319B31B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33" name="Line 36">
          <a:extLst>
            <a:ext uri="{FF2B5EF4-FFF2-40B4-BE49-F238E27FC236}">
              <a16:creationId xmlns:a16="http://schemas.microsoft.com/office/drawing/2014/main" id="{E0E16B66-EDD9-45D6-89DB-B726DF20AC9B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34" name="Line 301">
          <a:extLst>
            <a:ext uri="{FF2B5EF4-FFF2-40B4-BE49-F238E27FC236}">
              <a16:creationId xmlns:a16="http://schemas.microsoft.com/office/drawing/2014/main" id="{6E92693D-65CF-4933-9CC6-656D10874523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35" name="Line 302">
          <a:extLst>
            <a:ext uri="{FF2B5EF4-FFF2-40B4-BE49-F238E27FC236}">
              <a16:creationId xmlns:a16="http://schemas.microsoft.com/office/drawing/2014/main" id="{62591F32-09C9-4A9F-BFF5-7B96542C7B6A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36" name="Line 303">
          <a:extLst>
            <a:ext uri="{FF2B5EF4-FFF2-40B4-BE49-F238E27FC236}">
              <a16:creationId xmlns:a16="http://schemas.microsoft.com/office/drawing/2014/main" id="{7CBF96B0-018A-4C43-BEA5-FADAAEF83BC4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37" name="Line 34">
          <a:extLst>
            <a:ext uri="{FF2B5EF4-FFF2-40B4-BE49-F238E27FC236}">
              <a16:creationId xmlns:a16="http://schemas.microsoft.com/office/drawing/2014/main" id="{025263BB-44AF-4C9A-83DE-4D3E7B96C542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38" name="Line 35">
          <a:extLst>
            <a:ext uri="{FF2B5EF4-FFF2-40B4-BE49-F238E27FC236}">
              <a16:creationId xmlns:a16="http://schemas.microsoft.com/office/drawing/2014/main" id="{10030286-2302-4DC2-8850-9889E6E4E952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39" name="Line 36">
          <a:extLst>
            <a:ext uri="{FF2B5EF4-FFF2-40B4-BE49-F238E27FC236}">
              <a16:creationId xmlns:a16="http://schemas.microsoft.com/office/drawing/2014/main" id="{BAE2F268-3CCF-42D0-993C-998847DE468F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40" name="Line 301">
          <a:extLst>
            <a:ext uri="{FF2B5EF4-FFF2-40B4-BE49-F238E27FC236}">
              <a16:creationId xmlns:a16="http://schemas.microsoft.com/office/drawing/2014/main" id="{CD42AF99-BEC1-4752-BD86-B3E300844636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41" name="Line 302">
          <a:extLst>
            <a:ext uri="{FF2B5EF4-FFF2-40B4-BE49-F238E27FC236}">
              <a16:creationId xmlns:a16="http://schemas.microsoft.com/office/drawing/2014/main" id="{0F60B029-DC4B-48AE-A5F9-72AD3457238C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42" name="Line 303">
          <a:extLst>
            <a:ext uri="{FF2B5EF4-FFF2-40B4-BE49-F238E27FC236}">
              <a16:creationId xmlns:a16="http://schemas.microsoft.com/office/drawing/2014/main" id="{D84B13F3-E67B-4E5D-9D29-D47BED4E98DB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43" name="Line 34">
          <a:extLst>
            <a:ext uri="{FF2B5EF4-FFF2-40B4-BE49-F238E27FC236}">
              <a16:creationId xmlns:a16="http://schemas.microsoft.com/office/drawing/2014/main" id="{51B7EACC-457D-46A9-A8BB-D8F451843A59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44" name="Line 35">
          <a:extLst>
            <a:ext uri="{FF2B5EF4-FFF2-40B4-BE49-F238E27FC236}">
              <a16:creationId xmlns:a16="http://schemas.microsoft.com/office/drawing/2014/main" id="{AFF95176-A720-4280-B2A6-E8B5D8467353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45" name="Line 36">
          <a:extLst>
            <a:ext uri="{FF2B5EF4-FFF2-40B4-BE49-F238E27FC236}">
              <a16:creationId xmlns:a16="http://schemas.microsoft.com/office/drawing/2014/main" id="{FA6C2E48-6631-4054-B2E8-789E76823DB0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46" name="Line 301">
          <a:extLst>
            <a:ext uri="{FF2B5EF4-FFF2-40B4-BE49-F238E27FC236}">
              <a16:creationId xmlns:a16="http://schemas.microsoft.com/office/drawing/2014/main" id="{11E71496-4E31-4EBD-8730-DD0D28E8DA6F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47" name="Line 302">
          <a:extLst>
            <a:ext uri="{FF2B5EF4-FFF2-40B4-BE49-F238E27FC236}">
              <a16:creationId xmlns:a16="http://schemas.microsoft.com/office/drawing/2014/main" id="{8A29EE7C-94C6-464F-A622-A4E94AD54F28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48" name="Line 303">
          <a:extLst>
            <a:ext uri="{FF2B5EF4-FFF2-40B4-BE49-F238E27FC236}">
              <a16:creationId xmlns:a16="http://schemas.microsoft.com/office/drawing/2014/main" id="{DCCF6A4F-BEE3-4691-82C8-F480D7214943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49" name="Line 34">
          <a:extLst>
            <a:ext uri="{FF2B5EF4-FFF2-40B4-BE49-F238E27FC236}">
              <a16:creationId xmlns:a16="http://schemas.microsoft.com/office/drawing/2014/main" id="{6906F260-7C75-4FBF-AF5C-03CFC14C5987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50" name="Line 35">
          <a:extLst>
            <a:ext uri="{FF2B5EF4-FFF2-40B4-BE49-F238E27FC236}">
              <a16:creationId xmlns:a16="http://schemas.microsoft.com/office/drawing/2014/main" id="{61D370D6-EB3C-4930-8624-02018C3A01A1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51" name="Line 36">
          <a:extLst>
            <a:ext uri="{FF2B5EF4-FFF2-40B4-BE49-F238E27FC236}">
              <a16:creationId xmlns:a16="http://schemas.microsoft.com/office/drawing/2014/main" id="{0DDD8466-BBAE-4953-AE58-B46F2537A900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52" name="Line 301">
          <a:extLst>
            <a:ext uri="{FF2B5EF4-FFF2-40B4-BE49-F238E27FC236}">
              <a16:creationId xmlns:a16="http://schemas.microsoft.com/office/drawing/2014/main" id="{F523734B-3F8F-4DBE-BDC6-15330EBE01E0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53" name="Line 302">
          <a:extLst>
            <a:ext uri="{FF2B5EF4-FFF2-40B4-BE49-F238E27FC236}">
              <a16:creationId xmlns:a16="http://schemas.microsoft.com/office/drawing/2014/main" id="{EC1289D9-2DC6-45E2-82A7-C24D9297A51C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54" name="Line 303">
          <a:extLst>
            <a:ext uri="{FF2B5EF4-FFF2-40B4-BE49-F238E27FC236}">
              <a16:creationId xmlns:a16="http://schemas.microsoft.com/office/drawing/2014/main" id="{905C8315-0A43-44E6-AF6A-7623DC84A233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55" name="Line 34">
          <a:extLst>
            <a:ext uri="{FF2B5EF4-FFF2-40B4-BE49-F238E27FC236}">
              <a16:creationId xmlns:a16="http://schemas.microsoft.com/office/drawing/2014/main" id="{D4728DE6-841D-4DF9-91BE-FCCB13A5A536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56" name="Line 35">
          <a:extLst>
            <a:ext uri="{FF2B5EF4-FFF2-40B4-BE49-F238E27FC236}">
              <a16:creationId xmlns:a16="http://schemas.microsoft.com/office/drawing/2014/main" id="{12695D55-C1E5-4FE9-9436-3582EE1C775D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57" name="Line 36">
          <a:extLst>
            <a:ext uri="{FF2B5EF4-FFF2-40B4-BE49-F238E27FC236}">
              <a16:creationId xmlns:a16="http://schemas.microsoft.com/office/drawing/2014/main" id="{3767A0DD-4372-4F2F-9AAE-FC3E16CBBF4D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58" name="Line 301">
          <a:extLst>
            <a:ext uri="{FF2B5EF4-FFF2-40B4-BE49-F238E27FC236}">
              <a16:creationId xmlns:a16="http://schemas.microsoft.com/office/drawing/2014/main" id="{29FE39B8-A11F-4B58-BDB7-1C67C8850741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59" name="Line 302">
          <a:extLst>
            <a:ext uri="{FF2B5EF4-FFF2-40B4-BE49-F238E27FC236}">
              <a16:creationId xmlns:a16="http://schemas.microsoft.com/office/drawing/2014/main" id="{646D484D-2157-4163-BCFA-BCE3074107E9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60" name="Line 303">
          <a:extLst>
            <a:ext uri="{FF2B5EF4-FFF2-40B4-BE49-F238E27FC236}">
              <a16:creationId xmlns:a16="http://schemas.microsoft.com/office/drawing/2014/main" id="{92A83F98-F3C7-4C23-9AFC-BB7FBF0AA01D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61" name="Line 34">
          <a:extLst>
            <a:ext uri="{FF2B5EF4-FFF2-40B4-BE49-F238E27FC236}">
              <a16:creationId xmlns:a16="http://schemas.microsoft.com/office/drawing/2014/main" id="{DBC1EB6C-8CBF-411B-B5F7-32ED5E48EE93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62" name="Line 35">
          <a:extLst>
            <a:ext uri="{FF2B5EF4-FFF2-40B4-BE49-F238E27FC236}">
              <a16:creationId xmlns:a16="http://schemas.microsoft.com/office/drawing/2014/main" id="{E55187E2-FE16-44C5-8778-D024D16C21E3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63" name="Line 36">
          <a:extLst>
            <a:ext uri="{FF2B5EF4-FFF2-40B4-BE49-F238E27FC236}">
              <a16:creationId xmlns:a16="http://schemas.microsoft.com/office/drawing/2014/main" id="{9DA71789-AED8-409B-9470-32624BCF16A6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64" name="Line 301">
          <a:extLst>
            <a:ext uri="{FF2B5EF4-FFF2-40B4-BE49-F238E27FC236}">
              <a16:creationId xmlns:a16="http://schemas.microsoft.com/office/drawing/2014/main" id="{41DCC794-4E0A-4DF2-823E-66BB2E0C9499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65" name="Line 302">
          <a:extLst>
            <a:ext uri="{FF2B5EF4-FFF2-40B4-BE49-F238E27FC236}">
              <a16:creationId xmlns:a16="http://schemas.microsoft.com/office/drawing/2014/main" id="{7DE74741-7BAB-4222-BC7C-E9D3DB294788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66" name="Line 303">
          <a:extLst>
            <a:ext uri="{FF2B5EF4-FFF2-40B4-BE49-F238E27FC236}">
              <a16:creationId xmlns:a16="http://schemas.microsoft.com/office/drawing/2014/main" id="{6F38D8B9-FF99-49B7-AD1E-C35EC211C016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67" name="Line 34">
          <a:extLst>
            <a:ext uri="{FF2B5EF4-FFF2-40B4-BE49-F238E27FC236}">
              <a16:creationId xmlns:a16="http://schemas.microsoft.com/office/drawing/2014/main" id="{78147B8E-8B89-4E2C-89B8-1153C05D3AE9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68" name="Line 35">
          <a:extLst>
            <a:ext uri="{FF2B5EF4-FFF2-40B4-BE49-F238E27FC236}">
              <a16:creationId xmlns:a16="http://schemas.microsoft.com/office/drawing/2014/main" id="{7EC36836-ECFD-473D-A8D2-53C7FE80A95A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69" name="Line 36">
          <a:extLst>
            <a:ext uri="{FF2B5EF4-FFF2-40B4-BE49-F238E27FC236}">
              <a16:creationId xmlns:a16="http://schemas.microsoft.com/office/drawing/2014/main" id="{35B92C12-CC2F-47C4-846E-9FEB5982772B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70" name="Line 301">
          <a:extLst>
            <a:ext uri="{FF2B5EF4-FFF2-40B4-BE49-F238E27FC236}">
              <a16:creationId xmlns:a16="http://schemas.microsoft.com/office/drawing/2014/main" id="{58D15E4F-4080-499E-B001-608C0482F079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71" name="Line 302">
          <a:extLst>
            <a:ext uri="{FF2B5EF4-FFF2-40B4-BE49-F238E27FC236}">
              <a16:creationId xmlns:a16="http://schemas.microsoft.com/office/drawing/2014/main" id="{C52C4245-A4D2-4EDC-AC00-EA19616C71E9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72" name="Line 303">
          <a:extLst>
            <a:ext uri="{FF2B5EF4-FFF2-40B4-BE49-F238E27FC236}">
              <a16:creationId xmlns:a16="http://schemas.microsoft.com/office/drawing/2014/main" id="{6EBEF5AC-250B-4093-B50E-B3292AA9C82B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73" name="Line 34">
          <a:extLst>
            <a:ext uri="{FF2B5EF4-FFF2-40B4-BE49-F238E27FC236}">
              <a16:creationId xmlns:a16="http://schemas.microsoft.com/office/drawing/2014/main" id="{982CABF7-8F98-424E-BE73-D42CB4AB095C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74" name="Line 35">
          <a:extLst>
            <a:ext uri="{FF2B5EF4-FFF2-40B4-BE49-F238E27FC236}">
              <a16:creationId xmlns:a16="http://schemas.microsoft.com/office/drawing/2014/main" id="{F5F96F79-96C4-45F9-80F6-BE596A034E5D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75" name="Line 36">
          <a:extLst>
            <a:ext uri="{FF2B5EF4-FFF2-40B4-BE49-F238E27FC236}">
              <a16:creationId xmlns:a16="http://schemas.microsoft.com/office/drawing/2014/main" id="{F7D031DC-62C9-4373-8E6C-7FD5A35DFDA5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76" name="Line 301">
          <a:extLst>
            <a:ext uri="{FF2B5EF4-FFF2-40B4-BE49-F238E27FC236}">
              <a16:creationId xmlns:a16="http://schemas.microsoft.com/office/drawing/2014/main" id="{CB994D2A-7A2A-45EC-86DE-7DF2DB6D2219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77" name="Line 302">
          <a:extLst>
            <a:ext uri="{FF2B5EF4-FFF2-40B4-BE49-F238E27FC236}">
              <a16:creationId xmlns:a16="http://schemas.microsoft.com/office/drawing/2014/main" id="{F7D60338-89F2-4F9E-8DA4-F3E8A44F1158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78" name="Line 303">
          <a:extLst>
            <a:ext uri="{FF2B5EF4-FFF2-40B4-BE49-F238E27FC236}">
              <a16:creationId xmlns:a16="http://schemas.microsoft.com/office/drawing/2014/main" id="{DE1C6957-975C-4221-B251-BB49D360F631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79" name="Line 34">
          <a:extLst>
            <a:ext uri="{FF2B5EF4-FFF2-40B4-BE49-F238E27FC236}">
              <a16:creationId xmlns:a16="http://schemas.microsoft.com/office/drawing/2014/main" id="{B065F62D-2CCB-401F-96F6-46F2FFBB81C9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80" name="Line 35">
          <a:extLst>
            <a:ext uri="{FF2B5EF4-FFF2-40B4-BE49-F238E27FC236}">
              <a16:creationId xmlns:a16="http://schemas.microsoft.com/office/drawing/2014/main" id="{D1930628-ABC4-4D6E-9117-E827B3262207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81" name="Line 36">
          <a:extLst>
            <a:ext uri="{FF2B5EF4-FFF2-40B4-BE49-F238E27FC236}">
              <a16:creationId xmlns:a16="http://schemas.microsoft.com/office/drawing/2014/main" id="{519FFA71-B7D1-40B4-8829-42D25F9A619A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82" name="Line 301">
          <a:extLst>
            <a:ext uri="{FF2B5EF4-FFF2-40B4-BE49-F238E27FC236}">
              <a16:creationId xmlns:a16="http://schemas.microsoft.com/office/drawing/2014/main" id="{AA0D7F12-453E-4B81-B410-469477D3DE30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83" name="Line 302">
          <a:extLst>
            <a:ext uri="{FF2B5EF4-FFF2-40B4-BE49-F238E27FC236}">
              <a16:creationId xmlns:a16="http://schemas.microsoft.com/office/drawing/2014/main" id="{1404DE59-6B17-463A-8D63-D67057F122FF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84" name="Line 303">
          <a:extLst>
            <a:ext uri="{FF2B5EF4-FFF2-40B4-BE49-F238E27FC236}">
              <a16:creationId xmlns:a16="http://schemas.microsoft.com/office/drawing/2014/main" id="{88C536D6-32F7-4C2A-8E04-BAC2D7958D17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85" name="Line 34">
          <a:extLst>
            <a:ext uri="{FF2B5EF4-FFF2-40B4-BE49-F238E27FC236}">
              <a16:creationId xmlns:a16="http://schemas.microsoft.com/office/drawing/2014/main" id="{30F35001-6377-421B-B7DB-79D2F4FBB65D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86" name="Line 35">
          <a:extLst>
            <a:ext uri="{FF2B5EF4-FFF2-40B4-BE49-F238E27FC236}">
              <a16:creationId xmlns:a16="http://schemas.microsoft.com/office/drawing/2014/main" id="{D46B1097-1011-41F9-BAC4-2C5AB957F4B5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87" name="Line 36">
          <a:extLst>
            <a:ext uri="{FF2B5EF4-FFF2-40B4-BE49-F238E27FC236}">
              <a16:creationId xmlns:a16="http://schemas.microsoft.com/office/drawing/2014/main" id="{EEBD0F12-129B-484B-826C-8EC9A7E1FACA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88" name="Line 301">
          <a:extLst>
            <a:ext uri="{FF2B5EF4-FFF2-40B4-BE49-F238E27FC236}">
              <a16:creationId xmlns:a16="http://schemas.microsoft.com/office/drawing/2014/main" id="{A6054FC9-4D4D-482C-A81F-47464AD17263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89" name="Line 302">
          <a:extLst>
            <a:ext uri="{FF2B5EF4-FFF2-40B4-BE49-F238E27FC236}">
              <a16:creationId xmlns:a16="http://schemas.microsoft.com/office/drawing/2014/main" id="{C6EE012E-EEBC-4277-9646-723906C06C56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90" name="Line 303">
          <a:extLst>
            <a:ext uri="{FF2B5EF4-FFF2-40B4-BE49-F238E27FC236}">
              <a16:creationId xmlns:a16="http://schemas.microsoft.com/office/drawing/2014/main" id="{9E2E08AF-CC02-4984-9024-00794B373915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91" name="Line 34">
          <a:extLst>
            <a:ext uri="{FF2B5EF4-FFF2-40B4-BE49-F238E27FC236}">
              <a16:creationId xmlns:a16="http://schemas.microsoft.com/office/drawing/2014/main" id="{77CF8996-37B0-4BBA-81A0-564A76032B89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92" name="Line 35">
          <a:extLst>
            <a:ext uri="{FF2B5EF4-FFF2-40B4-BE49-F238E27FC236}">
              <a16:creationId xmlns:a16="http://schemas.microsoft.com/office/drawing/2014/main" id="{844A3CFB-E11B-4A70-9942-A9983223F55A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93" name="Line 36">
          <a:extLst>
            <a:ext uri="{FF2B5EF4-FFF2-40B4-BE49-F238E27FC236}">
              <a16:creationId xmlns:a16="http://schemas.microsoft.com/office/drawing/2014/main" id="{587DC80C-2570-4137-9512-19CD1463403C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94" name="Line 301">
          <a:extLst>
            <a:ext uri="{FF2B5EF4-FFF2-40B4-BE49-F238E27FC236}">
              <a16:creationId xmlns:a16="http://schemas.microsoft.com/office/drawing/2014/main" id="{DF531571-B0C3-46B6-A87D-2C57F56BD0DF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95" name="Line 302">
          <a:extLst>
            <a:ext uri="{FF2B5EF4-FFF2-40B4-BE49-F238E27FC236}">
              <a16:creationId xmlns:a16="http://schemas.microsoft.com/office/drawing/2014/main" id="{8958C480-68DA-47FC-8B5D-1684D92F0F43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96" name="Line 303">
          <a:extLst>
            <a:ext uri="{FF2B5EF4-FFF2-40B4-BE49-F238E27FC236}">
              <a16:creationId xmlns:a16="http://schemas.microsoft.com/office/drawing/2014/main" id="{65293F32-61F4-4D29-A92F-0F83D75DF091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97" name="Line 34">
          <a:extLst>
            <a:ext uri="{FF2B5EF4-FFF2-40B4-BE49-F238E27FC236}">
              <a16:creationId xmlns:a16="http://schemas.microsoft.com/office/drawing/2014/main" id="{A5D8EC7D-6FBD-462C-A227-7705D2D67BCE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98" name="Line 35">
          <a:extLst>
            <a:ext uri="{FF2B5EF4-FFF2-40B4-BE49-F238E27FC236}">
              <a16:creationId xmlns:a16="http://schemas.microsoft.com/office/drawing/2014/main" id="{5A4A7C7B-C662-422C-9AF7-7AB644B1F1A6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499" name="Line 36">
          <a:extLst>
            <a:ext uri="{FF2B5EF4-FFF2-40B4-BE49-F238E27FC236}">
              <a16:creationId xmlns:a16="http://schemas.microsoft.com/office/drawing/2014/main" id="{EDAC8D6C-013E-491A-95EF-58BCE93BF34A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500" name="Line 301">
          <a:extLst>
            <a:ext uri="{FF2B5EF4-FFF2-40B4-BE49-F238E27FC236}">
              <a16:creationId xmlns:a16="http://schemas.microsoft.com/office/drawing/2014/main" id="{DE9EBED8-6AB9-4E06-AC68-FB25916BF3BF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501" name="Line 302">
          <a:extLst>
            <a:ext uri="{FF2B5EF4-FFF2-40B4-BE49-F238E27FC236}">
              <a16:creationId xmlns:a16="http://schemas.microsoft.com/office/drawing/2014/main" id="{C3937880-3E80-4142-9B20-53DE78AC40E0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502" name="Line 303">
          <a:extLst>
            <a:ext uri="{FF2B5EF4-FFF2-40B4-BE49-F238E27FC236}">
              <a16:creationId xmlns:a16="http://schemas.microsoft.com/office/drawing/2014/main" id="{B089CB11-6453-4D62-847A-A47E0EAC5150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503" name="Line 34">
          <a:extLst>
            <a:ext uri="{FF2B5EF4-FFF2-40B4-BE49-F238E27FC236}">
              <a16:creationId xmlns:a16="http://schemas.microsoft.com/office/drawing/2014/main" id="{C537FF3E-4408-4959-95DF-A2A8DC681B96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504" name="Line 35">
          <a:extLst>
            <a:ext uri="{FF2B5EF4-FFF2-40B4-BE49-F238E27FC236}">
              <a16:creationId xmlns:a16="http://schemas.microsoft.com/office/drawing/2014/main" id="{56DF6281-2CA2-471C-A42C-C1235DD4BDFD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505" name="Line 36">
          <a:extLst>
            <a:ext uri="{FF2B5EF4-FFF2-40B4-BE49-F238E27FC236}">
              <a16:creationId xmlns:a16="http://schemas.microsoft.com/office/drawing/2014/main" id="{178037BE-3ABE-491A-842D-544A44FFF5AB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506" name="Line 301">
          <a:extLst>
            <a:ext uri="{FF2B5EF4-FFF2-40B4-BE49-F238E27FC236}">
              <a16:creationId xmlns:a16="http://schemas.microsoft.com/office/drawing/2014/main" id="{B9E3D792-AA6F-4EFE-B496-299F34CF26AF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507" name="Line 302">
          <a:extLst>
            <a:ext uri="{FF2B5EF4-FFF2-40B4-BE49-F238E27FC236}">
              <a16:creationId xmlns:a16="http://schemas.microsoft.com/office/drawing/2014/main" id="{521CF19A-1202-4D74-BF63-1AB5B431A2D5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</xdr:row>
      <xdr:rowOff>228600</xdr:rowOff>
    </xdr:from>
    <xdr:to>
      <xdr:col>23</xdr:col>
      <xdr:colOff>19050</xdr:colOff>
      <xdr:row>3</xdr:row>
      <xdr:rowOff>9525</xdr:rowOff>
    </xdr:to>
    <xdr:sp macro="" textlink="">
      <xdr:nvSpPr>
        <xdr:cNvPr id="508" name="Line 303">
          <a:extLst>
            <a:ext uri="{FF2B5EF4-FFF2-40B4-BE49-F238E27FC236}">
              <a16:creationId xmlns:a16="http://schemas.microsoft.com/office/drawing/2014/main" id="{B13DA889-262F-468D-8383-0CC180BEF2C0}"/>
            </a:ext>
          </a:extLst>
        </xdr:cNvPr>
        <xdr:cNvSpPr>
          <a:spLocks noChangeShapeType="1"/>
        </xdr:cNvSpPr>
      </xdr:nvSpPr>
      <xdr:spPr bwMode="auto">
        <a:xfrm flipH="1" flipV="1">
          <a:off x="9953625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09" name="Line 34">
          <a:extLst>
            <a:ext uri="{FF2B5EF4-FFF2-40B4-BE49-F238E27FC236}">
              <a16:creationId xmlns:a16="http://schemas.microsoft.com/office/drawing/2014/main" id="{9EC15719-162D-4DFD-B9DD-6210E58FC53F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10" name="Line 35">
          <a:extLst>
            <a:ext uri="{FF2B5EF4-FFF2-40B4-BE49-F238E27FC236}">
              <a16:creationId xmlns:a16="http://schemas.microsoft.com/office/drawing/2014/main" id="{A6827682-0178-4D8E-A0A8-72F7632EA20E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11" name="Line 36">
          <a:extLst>
            <a:ext uri="{FF2B5EF4-FFF2-40B4-BE49-F238E27FC236}">
              <a16:creationId xmlns:a16="http://schemas.microsoft.com/office/drawing/2014/main" id="{6754CA80-146E-4002-9A20-B886B1953D0C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12" name="Line 301">
          <a:extLst>
            <a:ext uri="{FF2B5EF4-FFF2-40B4-BE49-F238E27FC236}">
              <a16:creationId xmlns:a16="http://schemas.microsoft.com/office/drawing/2014/main" id="{A0ED7F07-2E9F-4FCB-9533-476B7B7EB055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13" name="Line 302">
          <a:extLst>
            <a:ext uri="{FF2B5EF4-FFF2-40B4-BE49-F238E27FC236}">
              <a16:creationId xmlns:a16="http://schemas.microsoft.com/office/drawing/2014/main" id="{25B6AC2F-8238-4324-B2DE-CB23F9E0AF77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14" name="Line 303">
          <a:extLst>
            <a:ext uri="{FF2B5EF4-FFF2-40B4-BE49-F238E27FC236}">
              <a16:creationId xmlns:a16="http://schemas.microsoft.com/office/drawing/2014/main" id="{67D65BCE-343D-4FF4-ABBE-7C72088C4586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15" name="Line 34">
          <a:extLst>
            <a:ext uri="{FF2B5EF4-FFF2-40B4-BE49-F238E27FC236}">
              <a16:creationId xmlns:a16="http://schemas.microsoft.com/office/drawing/2014/main" id="{DB857E06-941A-40EA-88D7-B224E96FC7E2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16" name="Line 35">
          <a:extLst>
            <a:ext uri="{FF2B5EF4-FFF2-40B4-BE49-F238E27FC236}">
              <a16:creationId xmlns:a16="http://schemas.microsoft.com/office/drawing/2014/main" id="{99BE9C4D-C06E-4EBA-AB78-F63FF1FEC906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17" name="Line 36">
          <a:extLst>
            <a:ext uri="{FF2B5EF4-FFF2-40B4-BE49-F238E27FC236}">
              <a16:creationId xmlns:a16="http://schemas.microsoft.com/office/drawing/2014/main" id="{1586435D-A4E3-4505-B3A3-042F40F9FA84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18" name="Line 301">
          <a:extLst>
            <a:ext uri="{FF2B5EF4-FFF2-40B4-BE49-F238E27FC236}">
              <a16:creationId xmlns:a16="http://schemas.microsoft.com/office/drawing/2014/main" id="{6D7F7A9B-6D58-44BF-BEB6-8873D0163DD4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19" name="Line 302">
          <a:extLst>
            <a:ext uri="{FF2B5EF4-FFF2-40B4-BE49-F238E27FC236}">
              <a16:creationId xmlns:a16="http://schemas.microsoft.com/office/drawing/2014/main" id="{38D2A054-0252-4AF1-A5C8-ADEAAB5EEDCC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20" name="Line 303">
          <a:extLst>
            <a:ext uri="{FF2B5EF4-FFF2-40B4-BE49-F238E27FC236}">
              <a16:creationId xmlns:a16="http://schemas.microsoft.com/office/drawing/2014/main" id="{FE6312B5-6AC4-41F7-8A94-C724BEEF8878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21" name="Line 34">
          <a:extLst>
            <a:ext uri="{FF2B5EF4-FFF2-40B4-BE49-F238E27FC236}">
              <a16:creationId xmlns:a16="http://schemas.microsoft.com/office/drawing/2014/main" id="{0C79C049-DE36-4DDA-8B72-325BA2515536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22" name="Line 35">
          <a:extLst>
            <a:ext uri="{FF2B5EF4-FFF2-40B4-BE49-F238E27FC236}">
              <a16:creationId xmlns:a16="http://schemas.microsoft.com/office/drawing/2014/main" id="{CD9DEEF7-F237-45AB-9F0E-5C80B3E2D320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23" name="Line 36">
          <a:extLst>
            <a:ext uri="{FF2B5EF4-FFF2-40B4-BE49-F238E27FC236}">
              <a16:creationId xmlns:a16="http://schemas.microsoft.com/office/drawing/2014/main" id="{2911E696-0444-457B-AC61-AE7C89D671A3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24" name="Line 301">
          <a:extLst>
            <a:ext uri="{FF2B5EF4-FFF2-40B4-BE49-F238E27FC236}">
              <a16:creationId xmlns:a16="http://schemas.microsoft.com/office/drawing/2014/main" id="{A9970DAB-BDE1-4810-89E0-BA7349F1C3B7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25" name="Line 302">
          <a:extLst>
            <a:ext uri="{FF2B5EF4-FFF2-40B4-BE49-F238E27FC236}">
              <a16:creationId xmlns:a16="http://schemas.microsoft.com/office/drawing/2014/main" id="{861784D9-E963-4997-B234-3F82EC23614E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26" name="Line 303">
          <a:extLst>
            <a:ext uri="{FF2B5EF4-FFF2-40B4-BE49-F238E27FC236}">
              <a16:creationId xmlns:a16="http://schemas.microsoft.com/office/drawing/2014/main" id="{1A4A9983-6C84-47A3-A525-D36A09885870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27" name="Line 34">
          <a:extLst>
            <a:ext uri="{FF2B5EF4-FFF2-40B4-BE49-F238E27FC236}">
              <a16:creationId xmlns:a16="http://schemas.microsoft.com/office/drawing/2014/main" id="{61A0225A-AD69-4E39-AE85-C3C784121553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28" name="Line 35">
          <a:extLst>
            <a:ext uri="{FF2B5EF4-FFF2-40B4-BE49-F238E27FC236}">
              <a16:creationId xmlns:a16="http://schemas.microsoft.com/office/drawing/2014/main" id="{39E8F707-C523-456B-B6E7-13CF504663CC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29" name="Line 36">
          <a:extLst>
            <a:ext uri="{FF2B5EF4-FFF2-40B4-BE49-F238E27FC236}">
              <a16:creationId xmlns:a16="http://schemas.microsoft.com/office/drawing/2014/main" id="{33BF4E08-4CCC-4709-AC99-A211705E2A4B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30" name="Line 301">
          <a:extLst>
            <a:ext uri="{FF2B5EF4-FFF2-40B4-BE49-F238E27FC236}">
              <a16:creationId xmlns:a16="http://schemas.microsoft.com/office/drawing/2014/main" id="{B47C95D3-3FE9-4D82-B397-B7862413BB91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31" name="Line 302">
          <a:extLst>
            <a:ext uri="{FF2B5EF4-FFF2-40B4-BE49-F238E27FC236}">
              <a16:creationId xmlns:a16="http://schemas.microsoft.com/office/drawing/2014/main" id="{B3232D59-189B-472E-ACBC-9A022941A72B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32" name="Line 303">
          <a:extLst>
            <a:ext uri="{FF2B5EF4-FFF2-40B4-BE49-F238E27FC236}">
              <a16:creationId xmlns:a16="http://schemas.microsoft.com/office/drawing/2014/main" id="{4313925E-2EEA-48D6-996F-8A9D986B2258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33" name="Line 34">
          <a:extLst>
            <a:ext uri="{FF2B5EF4-FFF2-40B4-BE49-F238E27FC236}">
              <a16:creationId xmlns:a16="http://schemas.microsoft.com/office/drawing/2014/main" id="{04F350D7-984C-4CAF-8B2B-AC73666E157F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34" name="Line 35">
          <a:extLst>
            <a:ext uri="{FF2B5EF4-FFF2-40B4-BE49-F238E27FC236}">
              <a16:creationId xmlns:a16="http://schemas.microsoft.com/office/drawing/2014/main" id="{C8958690-6C75-4E02-A6B7-7CAC966DD970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35" name="Line 36">
          <a:extLst>
            <a:ext uri="{FF2B5EF4-FFF2-40B4-BE49-F238E27FC236}">
              <a16:creationId xmlns:a16="http://schemas.microsoft.com/office/drawing/2014/main" id="{2FA99E39-48A0-4BB1-A3B6-F99C3FC33738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36" name="Line 301">
          <a:extLst>
            <a:ext uri="{FF2B5EF4-FFF2-40B4-BE49-F238E27FC236}">
              <a16:creationId xmlns:a16="http://schemas.microsoft.com/office/drawing/2014/main" id="{C13930B6-B301-44AF-B07E-9BA01AECF829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37" name="Line 302">
          <a:extLst>
            <a:ext uri="{FF2B5EF4-FFF2-40B4-BE49-F238E27FC236}">
              <a16:creationId xmlns:a16="http://schemas.microsoft.com/office/drawing/2014/main" id="{8D1A960A-9CC5-47A5-8FB0-8EC4F3CF9014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38" name="Line 303">
          <a:extLst>
            <a:ext uri="{FF2B5EF4-FFF2-40B4-BE49-F238E27FC236}">
              <a16:creationId xmlns:a16="http://schemas.microsoft.com/office/drawing/2014/main" id="{A2857CC4-D7B1-4FAD-9F56-8AB48EDF4D1C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39" name="Line 34">
          <a:extLst>
            <a:ext uri="{FF2B5EF4-FFF2-40B4-BE49-F238E27FC236}">
              <a16:creationId xmlns:a16="http://schemas.microsoft.com/office/drawing/2014/main" id="{B75479A6-6615-44AA-B773-F901959C7777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40" name="Line 35">
          <a:extLst>
            <a:ext uri="{FF2B5EF4-FFF2-40B4-BE49-F238E27FC236}">
              <a16:creationId xmlns:a16="http://schemas.microsoft.com/office/drawing/2014/main" id="{AF15080D-800E-4D43-865B-602849AC1B29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41" name="Line 36">
          <a:extLst>
            <a:ext uri="{FF2B5EF4-FFF2-40B4-BE49-F238E27FC236}">
              <a16:creationId xmlns:a16="http://schemas.microsoft.com/office/drawing/2014/main" id="{25F44022-6C78-45D1-8910-63F98692C9A3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42" name="Line 301">
          <a:extLst>
            <a:ext uri="{FF2B5EF4-FFF2-40B4-BE49-F238E27FC236}">
              <a16:creationId xmlns:a16="http://schemas.microsoft.com/office/drawing/2014/main" id="{ACFB9EF2-A892-47DF-9CD5-58D033F31BAF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43" name="Line 302">
          <a:extLst>
            <a:ext uri="{FF2B5EF4-FFF2-40B4-BE49-F238E27FC236}">
              <a16:creationId xmlns:a16="http://schemas.microsoft.com/office/drawing/2014/main" id="{9F16DA77-73F4-4C8A-AECD-0AF10E953A45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44" name="Line 303">
          <a:extLst>
            <a:ext uri="{FF2B5EF4-FFF2-40B4-BE49-F238E27FC236}">
              <a16:creationId xmlns:a16="http://schemas.microsoft.com/office/drawing/2014/main" id="{10F8CA38-D9C3-44DC-817C-9BF88C70D02C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45" name="Line 34">
          <a:extLst>
            <a:ext uri="{FF2B5EF4-FFF2-40B4-BE49-F238E27FC236}">
              <a16:creationId xmlns:a16="http://schemas.microsoft.com/office/drawing/2014/main" id="{80308619-78BA-47E0-8421-68102CAE9D82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46" name="Line 35">
          <a:extLst>
            <a:ext uri="{FF2B5EF4-FFF2-40B4-BE49-F238E27FC236}">
              <a16:creationId xmlns:a16="http://schemas.microsoft.com/office/drawing/2014/main" id="{5936BDE3-D456-479B-9915-4BA46DD7032C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47" name="Line 36">
          <a:extLst>
            <a:ext uri="{FF2B5EF4-FFF2-40B4-BE49-F238E27FC236}">
              <a16:creationId xmlns:a16="http://schemas.microsoft.com/office/drawing/2014/main" id="{32383072-B5CC-48C7-8EE1-F8B419DD0AB3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48" name="Line 301">
          <a:extLst>
            <a:ext uri="{FF2B5EF4-FFF2-40B4-BE49-F238E27FC236}">
              <a16:creationId xmlns:a16="http://schemas.microsoft.com/office/drawing/2014/main" id="{F7821627-DAE4-4366-B80F-46F19C9DF93E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49" name="Line 302">
          <a:extLst>
            <a:ext uri="{FF2B5EF4-FFF2-40B4-BE49-F238E27FC236}">
              <a16:creationId xmlns:a16="http://schemas.microsoft.com/office/drawing/2014/main" id="{1C7AD406-4FF6-4485-9D75-88E1370FF274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50" name="Line 303">
          <a:extLst>
            <a:ext uri="{FF2B5EF4-FFF2-40B4-BE49-F238E27FC236}">
              <a16:creationId xmlns:a16="http://schemas.microsoft.com/office/drawing/2014/main" id="{FCDF4AA3-6E35-41B0-B476-CEFE87598EDF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51" name="Line 34">
          <a:extLst>
            <a:ext uri="{FF2B5EF4-FFF2-40B4-BE49-F238E27FC236}">
              <a16:creationId xmlns:a16="http://schemas.microsoft.com/office/drawing/2014/main" id="{AB9080AA-3B58-4E15-843D-13F802ECAEC7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52" name="Line 35">
          <a:extLst>
            <a:ext uri="{FF2B5EF4-FFF2-40B4-BE49-F238E27FC236}">
              <a16:creationId xmlns:a16="http://schemas.microsoft.com/office/drawing/2014/main" id="{EBA08827-4944-4D00-BA57-B08808BB97D0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53" name="Line 36">
          <a:extLst>
            <a:ext uri="{FF2B5EF4-FFF2-40B4-BE49-F238E27FC236}">
              <a16:creationId xmlns:a16="http://schemas.microsoft.com/office/drawing/2014/main" id="{205971DC-4B1A-45C5-9E50-CA86AC1449D6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54" name="Line 301">
          <a:extLst>
            <a:ext uri="{FF2B5EF4-FFF2-40B4-BE49-F238E27FC236}">
              <a16:creationId xmlns:a16="http://schemas.microsoft.com/office/drawing/2014/main" id="{9740CB89-C6A3-4FDF-A0EB-DEFC160099FF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55" name="Line 302">
          <a:extLst>
            <a:ext uri="{FF2B5EF4-FFF2-40B4-BE49-F238E27FC236}">
              <a16:creationId xmlns:a16="http://schemas.microsoft.com/office/drawing/2014/main" id="{6B318DC6-C502-45B1-BC38-26E04B8FC330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56" name="Line 303">
          <a:extLst>
            <a:ext uri="{FF2B5EF4-FFF2-40B4-BE49-F238E27FC236}">
              <a16:creationId xmlns:a16="http://schemas.microsoft.com/office/drawing/2014/main" id="{F6EE2515-1303-43C6-87A0-83500B3C634D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57" name="Line 34">
          <a:extLst>
            <a:ext uri="{FF2B5EF4-FFF2-40B4-BE49-F238E27FC236}">
              <a16:creationId xmlns:a16="http://schemas.microsoft.com/office/drawing/2014/main" id="{C1CA1D19-CA4F-4C89-B2F0-1B7DF15707EC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58" name="Line 35">
          <a:extLst>
            <a:ext uri="{FF2B5EF4-FFF2-40B4-BE49-F238E27FC236}">
              <a16:creationId xmlns:a16="http://schemas.microsoft.com/office/drawing/2014/main" id="{4D9F2777-2198-4F16-B2A0-30B9B420AE3E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59" name="Line 36">
          <a:extLst>
            <a:ext uri="{FF2B5EF4-FFF2-40B4-BE49-F238E27FC236}">
              <a16:creationId xmlns:a16="http://schemas.microsoft.com/office/drawing/2014/main" id="{7F7967CF-6E8E-448A-8533-FF53AEB9D40D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60" name="Line 301">
          <a:extLst>
            <a:ext uri="{FF2B5EF4-FFF2-40B4-BE49-F238E27FC236}">
              <a16:creationId xmlns:a16="http://schemas.microsoft.com/office/drawing/2014/main" id="{47E94000-2EA4-4656-940E-C227EBC63BC9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61" name="Line 302">
          <a:extLst>
            <a:ext uri="{FF2B5EF4-FFF2-40B4-BE49-F238E27FC236}">
              <a16:creationId xmlns:a16="http://schemas.microsoft.com/office/drawing/2014/main" id="{3FB3B164-394E-463D-BADA-3C5AE5083ACA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62" name="Line 303">
          <a:extLst>
            <a:ext uri="{FF2B5EF4-FFF2-40B4-BE49-F238E27FC236}">
              <a16:creationId xmlns:a16="http://schemas.microsoft.com/office/drawing/2014/main" id="{162BAF9C-5AE1-4DF7-A2E8-0D7AB2C05266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63" name="Line 34">
          <a:extLst>
            <a:ext uri="{FF2B5EF4-FFF2-40B4-BE49-F238E27FC236}">
              <a16:creationId xmlns:a16="http://schemas.microsoft.com/office/drawing/2014/main" id="{EC03F6CD-0932-4F25-B92E-0C0D2EC1DB1D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64" name="Line 35">
          <a:extLst>
            <a:ext uri="{FF2B5EF4-FFF2-40B4-BE49-F238E27FC236}">
              <a16:creationId xmlns:a16="http://schemas.microsoft.com/office/drawing/2014/main" id="{A89AABC3-CD1C-4EC2-85B1-104C685B4E2C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65" name="Line 36">
          <a:extLst>
            <a:ext uri="{FF2B5EF4-FFF2-40B4-BE49-F238E27FC236}">
              <a16:creationId xmlns:a16="http://schemas.microsoft.com/office/drawing/2014/main" id="{86E33898-005A-4D7A-A041-5BA1D10CCD6D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66" name="Line 301">
          <a:extLst>
            <a:ext uri="{FF2B5EF4-FFF2-40B4-BE49-F238E27FC236}">
              <a16:creationId xmlns:a16="http://schemas.microsoft.com/office/drawing/2014/main" id="{E000C2C5-94A5-4AB1-9DED-1B910CA0FA46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67" name="Line 302">
          <a:extLst>
            <a:ext uri="{FF2B5EF4-FFF2-40B4-BE49-F238E27FC236}">
              <a16:creationId xmlns:a16="http://schemas.microsoft.com/office/drawing/2014/main" id="{C0149D50-A84E-494E-B98B-3D9B46BB765C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68" name="Line 303">
          <a:extLst>
            <a:ext uri="{FF2B5EF4-FFF2-40B4-BE49-F238E27FC236}">
              <a16:creationId xmlns:a16="http://schemas.microsoft.com/office/drawing/2014/main" id="{BC6D72BE-76DD-45E6-9E3D-85AAE7A4F695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69" name="Line 34">
          <a:extLst>
            <a:ext uri="{FF2B5EF4-FFF2-40B4-BE49-F238E27FC236}">
              <a16:creationId xmlns:a16="http://schemas.microsoft.com/office/drawing/2014/main" id="{BE048B23-ED26-4C96-9131-83AE23912C78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70" name="Line 35">
          <a:extLst>
            <a:ext uri="{FF2B5EF4-FFF2-40B4-BE49-F238E27FC236}">
              <a16:creationId xmlns:a16="http://schemas.microsoft.com/office/drawing/2014/main" id="{4335E134-7B0C-4B4A-835E-513A84C286A5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71" name="Line 36">
          <a:extLst>
            <a:ext uri="{FF2B5EF4-FFF2-40B4-BE49-F238E27FC236}">
              <a16:creationId xmlns:a16="http://schemas.microsoft.com/office/drawing/2014/main" id="{35DE6A19-FA24-451C-ADCD-32E6F26BF3E3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72" name="Line 301">
          <a:extLst>
            <a:ext uri="{FF2B5EF4-FFF2-40B4-BE49-F238E27FC236}">
              <a16:creationId xmlns:a16="http://schemas.microsoft.com/office/drawing/2014/main" id="{B4629246-3794-41FD-851D-56C29CE0AD06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73" name="Line 302">
          <a:extLst>
            <a:ext uri="{FF2B5EF4-FFF2-40B4-BE49-F238E27FC236}">
              <a16:creationId xmlns:a16="http://schemas.microsoft.com/office/drawing/2014/main" id="{B19816A9-4F32-409D-AF2D-56879F1D6292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74" name="Line 303">
          <a:extLst>
            <a:ext uri="{FF2B5EF4-FFF2-40B4-BE49-F238E27FC236}">
              <a16:creationId xmlns:a16="http://schemas.microsoft.com/office/drawing/2014/main" id="{6E080D60-2FDD-4477-95E6-6B59F84309AC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75" name="Line 34">
          <a:extLst>
            <a:ext uri="{FF2B5EF4-FFF2-40B4-BE49-F238E27FC236}">
              <a16:creationId xmlns:a16="http://schemas.microsoft.com/office/drawing/2014/main" id="{698804B4-961F-483A-9F8B-684D27802B80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76" name="Line 35">
          <a:extLst>
            <a:ext uri="{FF2B5EF4-FFF2-40B4-BE49-F238E27FC236}">
              <a16:creationId xmlns:a16="http://schemas.microsoft.com/office/drawing/2014/main" id="{D2886DDB-C7FE-450E-8B48-C81E9E49C429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77" name="Line 36">
          <a:extLst>
            <a:ext uri="{FF2B5EF4-FFF2-40B4-BE49-F238E27FC236}">
              <a16:creationId xmlns:a16="http://schemas.microsoft.com/office/drawing/2014/main" id="{AD242D43-69C4-404B-B201-2ECCC3CB1A2B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78" name="Line 301">
          <a:extLst>
            <a:ext uri="{FF2B5EF4-FFF2-40B4-BE49-F238E27FC236}">
              <a16:creationId xmlns:a16="http://schemas.microsoft.com/office/drawing/2014/main" id="{38254746-28D0-49F3-9C2B-FA3A003D116A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79" name="Line 302">
          <a:extLst>
            <a:ext uri="{FF2B5EF4-FFF2-40B4-BE49-F238E27FC236}">
              <a16:creationId xmlns:a16="http://schemas.microsoft.com/office/drawing/2014/main" id="{6F2E31CA-02FA-42A9-874D-E25DADC6F923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80" name="Line 303">
          <a:extLst>
            <a:ext uri="{FF2B5EF4-FFF2-40B4-BE49-F238E27FC236}">
              <a16:creationId xmlns:a16="http://schemas.microsoft.com/office/drawing/2014/main" id="{D2E6EE0B-2B15-48F7-9826-02CE9BDE32B3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81" name="Line 34">
          <a:extLst>
            <a:ext uri="{FF2B5EF4-FFF2-40B4-BE49-F238E27FC236}">
              <a16:creationId xmlns:a16="http://schemas.microsoft.com/office/drawing/2014/main" id="{E06852CB-2791-48DF-9EC6-3240C7F15E5D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82" name="Line 35">
          <a:extLst>
            <a:ext uri="{FF2B5EF4-FFF2-40B4-BE49-F238E27FC236}">
              <a16:creationId xmlns:a16="http://schemas.microsoft.com/office/drawing/2014/main" id="{E88F4DFE-2FFC-4E38-A9DE-5AA91DB70D09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83" name="Line 36">
          <a:extLst>
            <a:ext uri="{FF2B5EF4-FFF2-40B4-BE49-F238E27FC236}">
              <a16:creationId xmlns:a16="http://schemas.microsoft.com/office/drawing/2014/main" id="{D4829127-280D-44CD-8F55-6B652C7CB313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84" name="Line 301">
          <a:extLst>
            <a:ext uri="{FF2B5EF4-FFF2-40B4-BE49-F238E27FC236}">
              <a16:creationId xmlns:a16="http://schemas.microsoft.com/office/drawing/2014/main" id="{5BC75699-5777-4DB1-8229-95B639F9AD46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85" name="Line 302">
          <a:extLst>
            <a:ext uri="{FF2B5EF4-FFF2-40B4-BE49-F238E27FC236}">
              <a16:creationId xmlns:a16="http://schemas.microsoft.com/office/drawing/2014/main" id="{BB9824EC-7322-4E13-830D-F1ED3810E157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86" name="Line 303">
          <a:extLst>
            <a:ext uri="{FF2B5EF4-FFF2-40B4-BE49-F238E27FC236}">
              <a16:creationId xmlns:a16="http://schemas.microsoft.com/office/drawing/2014/main" id="{676A40F5-89B4-4C2D-8B86-9A2967EDC3A6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87" name="Line 34">
          <a:extLst>
            <a:ext uri="{FF2B5EF4-FFF2-40B4-BE49-F238E27FC236}">
              <a16:creationId xmlns:a16="http://schemas.microsoft.com/office/drawing/2014/main" id="{F4AE2812-495E-4307-8A00-91CE5270B957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88" name="Line 35">
          <a:extLst>
            <a:ext uri="{FF2B5EF4-FFF2-40B4-BE49-F238E27FC236}">
              <a16:creationId xmlns:a16="http://schemas.microsoft.com/office/drawing/2014/main" id="{DC2E5E0D-35F7-413A-A2BE-11C92A5EDF07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89" name="Line 36">
          <a:extLst>
            <a:ext uri="{FF2B5EF4-FFF2-40B4-BE49-F238E27FC236}">
              <a16:creationId xmlns:a16="http://schemas.microsoft.com/office/drawing/2014/main" id="{EF2EF77A-669D-477A-8A7C-79A33EF00361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90" name="Line 301">
          <a:extLst>
            <a:ext uri="{FF2B5EF4-FFF2-40B4-BE49-F238E27FC236}">
              <a16:creationId xmlns:a16="http://schemas.microsoft.com/office/drawing/2014/main" id="{1DF82A16-2873-458F-AAFD-7018B7F7A062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91" name="Line 302">
          <a:extLst>
            <a:ext uri="{FF2B5EF4-FFF2-40B4-BE49-F238E27FC236}">
              <a16:creationId xmlns:a16="http://schemas.microsoft.com/office/drawing/2014/main" id="{49E11682-464E-4EDF-AC69-9D57A7C4F50B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2</xdr:row>
      <xdr:rowOff>228600</xdr:rowOff>
    </xdr:from>
    <xdr:to>
      <xdr:col>27</xdr:col>
      <xdr:colOff>19050</xdr:colOff>
      <xdr:row>3</xdr:row>
      <xdr:rowOff>9525</xdr:rowOff>
    </xdr:to>
    <xdr:sp macro="" textlink="">
      <xdr:nvSpPr>
        <xdr:cNvPr id="592" name="Line 303">
          <a:extLst>
            <a:ext uri="{FF2B5EF4-FFF2-40B4-BE49-F238E27FC236}">
              <a16:creationId xmlns:a16="http://schemas.microsoft.com/office/drawing/2014/main" id="{2EE6771F-D544-4866-B1C2-101D9BCAC8BB}"/>
            </a:ext>
          </a:extLst>
        </xdr:cNvPr>
        <xdr:cNvSpPr>
          <a:spLocks noChangeShapeType="1"/>
        </xdr:cNvSpPr>
      </xdr:nvSpPr>
      <xdr:spPr bwMode="auto">
        <a:xfrm flipH="1" flipV="1">
          <a:off x="11791950" y="942975"/>
          <a:ext cx="6477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2</xdr:row>
      <xdr:rowOff>28575</xdr:rowOff>
    </xdr:from>
    <xdr:to>
      <xdr:col>31</xdr:col>
      <xdr:colOff>19050</xdr:colOff>
      <xdr:row>3</xdr:row>
      <xdr:rowOff>9525</xdr:rowOff>
    </xdr:to>
    <xdr:grpSp>
      <xdr:nvGrpSpPr>
        <xdr:cNvPr id="593" name="Group 8955">
          <a:extLst>
            <a:ext uri="{FF2B5EF4-FFF2-40B4-BE49-F238E27FC236}">
              <a16:creationId xmlns:a16="http://schemas.microsoft.com/office/drawing/2014/main" id="{41BADEEE-6636-468B-8D69-05782A5D3BA1}"/>
            </a:ext>
          </a:extLst>
        </xdr:cNvPr>
        <xdr:cNvGrpSpPr>
          <a:grpSpLocks/>
        </xdr:cNvGrpSpPr>
      </xdr:nvGrpSpPr>
      <xdr:grpSpPr bwMode="auto">
        <a:xfrm>
          <a:off x="13877925" y="876300"/>
          <a:ext cx="685800" cy="76200"/>
          <a:chOff x="41" y="65"/>
          <a:chExt cx="88" cy="57"/>
        </a:xfrm>
      </xdr:grpSpPr>
      <xdr:sp macro="" textlink="">
        <xdr:nvSpPr>
          <xdr:cNvPr id="594" name="Text Box 49">
            <a:extLst>
              <a:ext uri="{FF2B5EF4-FFF2-40B4-BE49-F238E27FC236}">
                <a16:creationId xmlns:a16="http://schemas.microsoft.com/office/drawing/2014/main" id="{FD103794-E7DC-495C-B168-1B3F4B7E6B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" y="65"/>
            <a:ext cx="2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項目</a:t>
            </a:r>
          </a:p>
        </xdr:txBody>
      </xdr:sp>
      <xdr:sp macro="" textlink="">
        <xdr:nvSpPr>
          <xdr:cNvPr id="595" name="Text Box 171">
            <a:extLst>
              <a:ext uri="{FF2B5EF4-FFF2-40B4-BE49-F238E27FC236}">
                <a16:creationId xmlns:a16="http://schemas.microsoft.com/office/drawing/2014/main" id="{32D0F5BA-E46B-4934-BF62-02F66E857E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" y="65"/>
            <a:ext cx="2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項目</a:t>
            </a:r>
          </a:p>
        </xdr:txBody>
      </xdr:sp>
      <xdr:sp macro="" textlink="">
        <xdr:nvSpPr>
          <xdr:cNvPr id="596" name="Text Box 524">
            <a:extLst>
              <a:ext uri="{FF2B5EF4-FFF2-40B4-BE49-F238E27FC236}">
                <a16:creationId xmlns:a16="http://schemas.microsoft.com/office/drawing/2014/main" id="{BA600012-AE7E-4D0D-986D-397FE191DF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" y="65"/>
            <a:ext cx="2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項目</a:t>
            </a:r>
          </a:p>
        </xdr:txBody>
      </xdr:sp>
      <xdr:sp macro="" textlink="">
        <xdr:nvSpPr>
          <xdr:cNvPr id="597" name="Text Box 14">
            <a:extLst>
              <a:ext uri="{FF2B5EF4-FFF2-40B4-BE49-F238E27FC236}">
                <a16:creationId xmlns:a16="http://schemas.microsoft.com/office/drawing/2014/main" id="{0B197C94-9C04-4A4D-820E-F8694BD5E9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" y="100"/>
            <a:ext cx="34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積  分</a:t>
            </a:r>
          </a:p>
        </xdr:txBody>
      </xdr:sp>
      <xdr:sp macro="" textlink="">
        <xdr:nvSpPr>
          <xdr:cNvPr id="598" name="Line 8960">
            <a:extLst>
              <a:ext uri="{FF2B5EF4-FFF2-40B4-BE49-F238E27FC236}">
                <a16:creationId xmlns:a16="http://schemas.microsoft.com/office/drawing/2014/main" id="{A6AFC303-6957-437D-8A93-FE0F980EFB41}"/>
              </a:ext>
            </a:extLst>
          </xdr:cNvPr>
          <xdr:cNvSpPr>
            <a:spLocks noChangeShapeType="1"/>
          </xdr:cNvSpPr>
        </xdr:nvSpPr>
        <xdr:spPr bwMode="auto">
          <a:xfrm>
            <a:off x="41" y="90"/>
            <a:ext cx="88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9" name="Line 8961">
            <a:extLst>
              <a:ext uri="{FF2B5EF4-FFF2-40B4-BE49-F238E27FC236}">
                <a16:creationId xmlns:a16="http://schemas.microsoft.com/office/drawing/2014/main" id="{7B3DD58A-858B-46D4-8E45-E82E727DE552}"/>
              </a:ext>
            </a:extLst>
          </xdr:cNvPr>
          <xdr:cNvSpPr>
            <a:spLocks noChangeShapeType="1"/>
          </xdr:cNvSpPr>
        </xdr:nvSpPr>
        <xdr:spPr bwMode="auto">
          <a:xfrm>
            <a:off x="79" y="67"/>
            <a:ext cx="48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19050</xdr:colOff>
      <xdr:row>2</xdr:row>
      <xdr:rowOff>28575</xdr:rowOff>
    </xdr:from>
    <xdr:to>
      <xdr:col>31</xdr:col>
      <xdr:colOff>19050</xdr:colOff>
      <xdr:row>3</xdr:row>
      <xdr:rowOff>9525</xdr:rowOff>
    </xdr:to>
    <xdr:grpSp>
      <xdr:nvGrpSpPr>
        <xdr:cNvPr id="600" name="Group 8962">
          <a:extLst>
            <a:ext uri="{FF2B5EF4-FFF2-40B4-BE49-F238E27FC236}">
              <a16:creationId xmlns:a16="http://schemas.microsoft.com/office/drawing/2014/main" id="{4C3A371F-68F8-4629-B2B9-8E5030861D5A}"/>
            </a:ext>
          </a:extLst>
        </xdr:cNvPr>
        <xdr:cNvGrpSpPr>
          <a:grpSpLocks/>
        </xdr:cNvGrpSpPr>
      </xdr:nvGrpSpPr>
      <xdr:grpSpPr bwMode="auto">
        <a:xfrm>
          <a:off x="13877925" y="876300"/>
          <a:ext cx="685800" cy="76200"/>
          <a:chOff x="41" y="65"/>
          <a:chExt cx="88" cy="57"/>
        </a:xfrm>
      </xdr:grpSpPr>
      <xdr:sp macro="" textlink="">
        <xdr:nvSpPr>
          <xdr:cNvPr id="601" name="Text Box 49">
            <a:extLst>
              <a:ext uri="{FF2B5EF4-FFF2-40B4-BE49-F238E27FC236}">
                <a16:creationId xmlns:a16="http://schemas.microsoft.com/office/drawing/2014/main" id="{66525A6D-FBA9-411E-A18D-47BC26F36B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" y="65"/>
            <a:ext cx="2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項目</a:t>
            </a:r>
          </a:p>
        </xdr:txBody>
      </xdr:sp>
      <xdr:sp macro="" textlink="">
        <xdr:nvSpPr>
          <xdr:cNvPr id="602" name="Text Box 171">
            <a:extLst>
              <a:ext uri="{FF2B5EF4-FFF2-40B4-BE49-F238E27FC236}">
                <a16:creationId xmlns:a16="http://schemas.microsoft.com/office/drawing/2014/main" id="{36884578-4C40-4057-ADFD-2984BB0238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" y="65"/>
            <a:ext cx="2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項目</a:t>
            </a:r>
          </a:p>
        </xdr:txBody>
      </xdr:sp>
      <xdr:sp macro="" textlink="">
        <xdr:nvSpPr>
          <xdr:cNvPr id="603" name="Text Box 524">
            <a:extLst>
              <a:ext uri="{FF2B5EF4-FFF2-40B4-BE49-F238E27FC236}">
                <a16:creationId xmlns:a16="http://schemas.microsoft.com/office/drawing/2014/main" id="{CBA63663-7492-40F5-9237-39A555F8BDE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" y="65"/>
            <a:ext cx="2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項目</a:t>
            </a:r>
          </a:p>
        </xdr:txBody>
      </xdr:sp>
      <xdr:sp macro="" textlink="">
        <xdr:nvSpPr>
          <xdr:cNvPr id="604" name="Text Box 14">
            <a:extLst>
              <a:ext uri="{FF2B5EF4-FFF2-40B4-BE49-F238E27FC236}">
                <a16:creationId xmlns:a16="http://schemas.microsoft.com/office/drawing/2014/main" id="{4BB88AC7-A613-4C66-A918-B59ED3A2164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" y="100"/>
            <a:ext cx="34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積  分</a:t>
            </a:r>
          </a:p>
        </xdr:txBody>
      </xdr:sp>
      <xdr:sp macro="" textlink="">
        <xdr:nvSpPr>
          <xdr:cNvPr id="605" name="Line 8967">
            <a:extLst>
              <a:ext uri="{FF2B5EF4-FFF2-40B4-BE49-F238E27FC236}">
                <a16:creationId xmlns:a16="http://schemas.microsoft.com/office/drawing/2014/main" id="{16D7EB64-8D7D-456A-841A-C76C95BD723A}"/>
              </a:ext>
            </a:extLst>
          </xdr:cNvPr>
          <xdr:cNvSpPr>
            <a:spLocks noChangeShapeType="1"/>
          </xdr:cNvSpPr>
        </xdr:nvSpPr>
        <xdr:spPr bwMode="auto">
          <a:xfrm>
            <a:off x="41" y="90"/>
            <a:ext cx="88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6" name="Line 8968">
            <a:extLst>
              <a:ext uri="{FF2B5EF4-FFF2-40B4-BE49-F238E27FC236}">
                <a16:creationId xmlns:a16="http://schemas.microsoft.com/office/drawing/2014/main" id="{238E97EB-5258-4903-8243-D2B3A4D493D2}"/>
              </a:ext>
            </a:extLst>
          </xdr:cNvPr>
          <xdr:cNvSpPr>
            <a:spLocks noChangeShapeType="1"/>
          </xdr:cNvSpPr>
        </xdr:nvSpPr>
        <xdr:spPr bwMode="auto">
          <a:xfrm>
            <a:off x="79" y="67"/>
            <a:ext cx="48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07" name="Line 34">
          <a:extLst>
            <a:ext uri="{FF2B5EF4-FFF2-40B4-BE49-F238E27FC236}">
              <a16:creationId xmlns:a16="http://schemas.microsoft.com/office/drawing/2014/main" id="{148C16D3-133A-4E3A-B4FE-3C164DD44451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08" name="Line 35">
          <a:extLst>
            <a:ext uri="{FF2B5EF4-FFF2-40B4-BE49-F238E27FC236}">
              <a16:creationId xmlns:a16="http://schemas.microsoft.com/office/drawing/2014/main" id="{AEDD091F-B5F1-47D0-AE21-9A8FE2F3FBA3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09" name="Line 36">
          <a:extLst>
            <a:ext uri="{FF2B5EF4-FFF2-40B4-BE49-F238E27FC236}">
              <a16:creationId xmlns:a16="http://schemas.microsoft.com/office/drawing/2014/main" id="{419CCB96-DF52-4CCB-8552-31FCCD42811C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10" name="Line 301">
          <a:extLst>
            <a:ext uri="{FF2B5EF4-FFF2-40B4-BE49-F238E27FC236}">
              <a16:creationId xmlns:a16="http://schemas.microsoft.com/office/drawing/2014/main" id="{966D6871-CB6A-421D-B238-B995C577C78F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11" name="Line 302">
          <a:extLst>
            <a:ext uri="{FF2B5EF4-FFF2-40B4-BE49-F238E27FC236}">
              <a16:creationId xmlns:a16="http://schemas.microsoft.com/office/drawing/2014/main" id="{19E8A40F-5828-4FC2-978C-5778506FBEBA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12" name="Line 303">
          <a:extLst>
            <a:ext uri="{FF2B5EF4-FFF2-40B4-BE49-F238E27FC236}">
              <a16:creationId xmlns:a16="http://schemas.microsoft.com/office/drawing/2014/main" id="{1A8062F9-6486-48EA-A39C-05E2B3BF9954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13" name="Line 34">
          <a:extLst>
            <a:ext uri="{FF2B5EF4-FFF2-40B4-BE49-F238E27FC236}">
              <a16:creationId xmlns:a16="http://schemas.microsoft.com/office/drawing/2014/main" id="{F5B66413-FCBD-4D6E-8EB6-7E333392573D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14" name="Line 35">
          <a:extLst>
            <a:ext uri="{FF2B5EF4-FFF2-40B4-BE49-F238E27FC236}">
              <a16:creationId xmlns:a16="http://schemas.microsoft.com/office/drawing/2014/main" id="{2F6BF418-7230-45A4-A6ED-AA5A55116DF4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15" name="Line 36">
          <a:extLst>
            <a:ext uri="{FF2B5EF4-FFF2-40B4-BE49-F238E27FC236}">
              <a16:creationId xmlns:a16="http://schemas.microsoft.com/office/drawing/2014/main" id="{EE372FDB-D04D-488C-B14B-B8135247CD87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16" name="Line 301">
          <a:extLst>
            <a:ext uri="{FF2B5EF4-FFF2-40B4-BE49-F238E27FC236}">
              <a16:creationId xmlns:a16="http://schemas.microsoft.com/office/drawing/2014/main" id="{82DA973A-A3B0-4D59-87C7-2889D3441255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17" name="Line 302">
          <a:extLst>
            <a:ext uri="{FF2B5EF4-FFF2-40B4-BE49-F238E27FC236}">
              <a16:creationId xmlns:a16="http://schemas.microsoft.com/office/drawing/2014/main" id="{42F7F4F4-2EA4-4AB6-A177-170976BF359A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18" name="Line 303">
          <a:extLst>
            <a:ext uri="{FF2B5EF4-FFF2-40B4-BE49-F238E27FC236}">
              <a16:creationId xmlns:a16="http://schemas.microsoft.com/office/drawing/2014/main" id="{8349B58E-583A-4C1C-8778-90C4938A262F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19" name="Line 34">
          <a:extLst>
            <a:ext uri="{FF2B5EF4-FFF2-40B4-BE49-F238E27FC236}">
              <a16:creationId xmlns:a16="http://schemas.microsoft.com/office/drawing/2014/main" id="{03506D83-DBD0-4BD8-B5CC-89282777405A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20" name="Line 35">
          <a:extLst>
            <a:ext uri="{FF2B5EF4-FFF2-40B4-BE49-F238E27FC236}">
              <a16:creationId xmlns:a16="http://schemas.microsoft.com/office/drawing/2014/main" id="{606626AE-9DE5-488F-8808-DC25FC169472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21" name="Line 36">
          <a:extLst>
            <a:ext uri="{FF2B5EF4-FFF2-40B4-BE49-F238E27FC236}">
              <a16:creationId xmlns:a16="http://schemas.microsoft.com/office/drawing/2014/main" id="{7D604B72-C1B5-4001-A5E5-B4770998F039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22" name="Line 301">
          <a:extLst>
            <a:ext uri="{FF2B5EF4-FFF2-40B4-BE49-F238E27FC236}">
              <a16:creationId xmlns:a16="http://schemas.microsoft.com/office/drawing/2014/main" id="{5F0651C6-9570-42BC-8279-52BE8E71C1CA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23" name="Line 302">
          <a:extLst>
            <a:ext uri="{FF2B5EF4-FFF2-40B4-BE49-F238E27FC236}">
              <a16:creationId xmlns:a16="http://schemas.microsoft.com/office/drawing/2014/main" id="{794BC800-A0B2-49FD-B72B-C96A2A0EFDB9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24" name="Line 303">
          <a:extLst>
            <a:ext uri="{FF2B5EF4-FFF2-40B4-BE49-F238E27FC236}">
              <a16:creationId xmlns:a16="http://schemas.microsoft.com/office/drawing/2014/main" id="{281F44DC-49F7-4DE7-88E9-4D3AC456182B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25" name="Line 34">
          <a:extLst>
            <a:ext uri="{FF2B5EF4-FFF2-40B4-BE49-F238E27FC236}">
              <a16:creationId xmlns:a16="http://schemas.microsoft.com/office/drawing/2014/main" id="{0371BA7C-561C-415B-A413-044084D7C27A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26" name="Line 35">
          <a:extLst>
            <a:ext uri="{FF2B5EF4-FFF2-40B4-BE49-F238E27FC236}">
              <a16:creationId xmlns:a16="http://schemas.microsoft.com/office/drawing/2014/main" id="{99E6BE5E-FADF-43FD-8FF0-35BFE5B56F03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27" name="Line 36">
          <a:extLst>
            <a:ext uri="{FF2B5EF4-FFF2-40B4-BE49-F238E27FC236}">
              <a16:creationId xmlns:a16="http://schemas.microsoft.com/office/drawing/2014/main" id="{C9DB7C67-D8C4-4D54-87E6-206B1D5EE25B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28" name="Line 301">
          <a:extLst>
            <a:ext uri="{FF2B5EF4-FFF2-40B4-BE49-F238E27FC236}">
              <a16:creationId xmlns:a16="http://schemas.microsoft.com/office/drawing/2014/main" id="{C583B14C-5416-499D-8A4E-5705C5C2F7A5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29" name="Line 302">
          <a:extLst>
            <a:ext uri="{FF2B5EF4-FFF2-40B4-BE49-F238E27FC236}">
              <a16:creationId xmlns:a16="http://schemas.microsoft.com/office/drawing/2014/main" id="{58B3A607-7979-4101-9313-E42638F573E3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30" name="Line 303">
          <a:extLst>
            <a:ext uri="{FF2B5EF4-FFF2-40B4-BE49-F238E27FC236}">
              <a16:creationId xmlns:a16="http://schemas.microsoft.com/office/drawing/2014/main" id="{11871932-B54E-4A54-A479-0FC9A74D94CB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31" name="Line 34">
          <a:extLst>
            <a:ext uri="{FF2B5EF4-FFF2-40B4-BE49-F238E27FC236}">
              <a16:creationId xmlns:a16="http://schemas.microsoft.com/office/drawing/2014/main" id="{96A4778B-EFA6-4183-A327-0DB54D7F7251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32" name="Line 35">
          <a:extLst>
            <a:ext uri="{FF2B5EF4-FFF2-40B4-BE49-F238E27FC236}">
              <a16:creationId xmlns:a16="http://schemas.microsoft.com/office/drawing/2014/main" id="{8D868492-7123-488B-9E59-03F9320E2260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33" name="Line 36">
          <a:extLst>
            <a:ext uri="{FF2B5EF4-FFF2-40B4-BE49-F238E27FC236}">
              <a16:creationId xmlns:a16="http://schemas.microsoft.com/office/drawing/2014/main" id="{9CB3B342-0B97-40D4-9FF4-E71FF3310307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34" name="Line 301">
          <a:extLst>
            <a:ext uri="{FF2B5EF4-FFF2-40B4-BE49-F238E27FC236}">
              <a16:creationId xmlns:a16="http://schemas.microsoft.com/office/drawing/2014/main" id="{45866ACE-4AB9-4241-A872-4BAC426FECAC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35" name="Line 302">
          <a:extLst>
            <a:ext uri="{FF2B5EF4-FFF2-40B4-BE49-F238E27FC236}">
              <a16:creationId xmlns:a16="http://schemas.microsoft.com/office/drawing/2014/main" id="{262F101D-6B2A-447F-AA35-4B50166634FF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36" name="Line 303">
          <a:extLst>
            <a:ext uri="{FF2B5EF4-FFF2-40B4-BE49-F238E27FC236}">
              <a16:creationId xmlns:a16="http://schemas.microsoft.com/office/drawing/2014/main" id="{A40F2923-2EF1-4629-AF96-A79E9D1819C5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37" name="Line 34">
          <a:extLst>
            <a:ext uri="{FF2B5EF4-FFF2-40B4-BE49-F238E27FC236}">
              <a16:creationId xmlns:a16="http://schemas.microsoft.com/office/drawing/2014/main" id="{92DCE026-06F5-486A-9B12-67B112405A55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38" name="Line 35">
          <a:extLst>
            <a:ext uri="{FF2B5EF4-FFF2-40B4-BE49-F238E27FC236}">
              <a16:creationId xmlns:a16="http://schemas.microsoft.com/office/drawing/2014/main" id="{1DAB3FDD-631B-426E-82F1-223E816B13C2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39" name="Line 36">
          <a:extLst>
            <a:ext uri="{FF2B5EF4-FFF2-40B4-BE49-F238E27FC236}">
              <a16:creationId xmlns:a16="http://schemas.microsoft.com/office/drawing/2014/main" id="{830636A1-6AFE-4215-8543-1601DAF06877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40" name="Line 301">
          <a:extLst>
            <a:ext uri="{FF2B5EF4-FFF2-40B4-BE49-F238E27FC236}">
              <a16:creationId xmlns:a16="http://schemas.microsoft.com/office/drawing/2014/main" id="{0E56C8EA-E216-4F34-B447-D0D05F5637D3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41" name="Line 302">
          <a:extLst>
            <a:ext uri="{FF2B5EF4-FFF2-40B4-BE49-F238E27FC236}">
              <a16:creationId xmlns:a16="http://schemas.microsoft.com/office/drawing/2014/main" id="{861B55C8-B678-440E-8571-DB998C4C93EB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42" name="Line 303">
          <a:extLst>
            <a:ext uri="{FF2B5EF4-FFF2-40B4-BE49-F238E27FC236}">
              <a16:creationId xmlns:a16="http://schemas.microsoft.com/office/drawing/2014/main" id="{A82E1C9E-94AB-4107-A708-5521BB93E640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43" name="Line 34">
          <a:extLst>
            <a:ext uri="{FF2B5EF4-FFF2-40B4-BE49-F238E27FC236}">
              <a16:creationId xmlns:a16="http://schemas.microsoft.com/office/drawing/2014/main" id="{AA889185-668B-4C86-AF07-E5EB3971942C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44" name="Line 35">
          <a:extLst>
            <a:ext uri="{FF2B5EF4-FFF2-40B4-BE49-F238E27FC236}">
              <a16:creationId xmlns:a16="http://schemas.microsoft.com/office/drawing/2014/main" id="{E07E1452-15AE-4A6F-ABF9-2A1305249EE6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45" name="Line 36">
          <a:extLst>
            <a:ext uri="{FF2B5EF4-FFF2-40B4-BE49-F238E27FC236}">
              <a16:creationId xmlns:a16="http://schemas.microsoft.com/office/drawing/2014/main" id="{57F2AA0D-7327-4D04-9346-CAF5D8883C49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46" name="Line 301">
          <a:extLst>
            <a:ext uri="{FF2B5EF4-FFF2-40B4-BE49-F238E27FC236}">
              <a16:creationId xmlns:a16="http://schemas.microsoft.com/office/drawing/2014/main" id="{CE04728B-3CBE-4D1F-B0D4-DCAA91E7C209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47" name="Line 302">
          <a:extLst>
            <a:ext uri="{FF2B5EF4-FFF2-40B4-BE49-F238E27FC236}">
              <a16:creationId xmlns:a16="http://schemas.microsoft.com/office/drawing/2014/main" id="{B8DA997F-403F-4E36-A1BC-0DD133EB9901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48" name="Line 303">
          <a:extLst>
            <a:ext uri="{FF2B5EF4-FFF2-40B4-BE49-F238E27FC236}">
              <a16:creationId xmlns:a16="http://schemas.microsoft.com/office/drawing/2014/main" id="{1131E1BB-C0D9-4971-898E-D4BF672A9214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49" name="Line 34">
          <a:extLst>
            <a:ext uri="{FF2B5EF4-FFF2-40B4-BE49-F238E27FC236}">
              <a16:creationId xmlns:a16="http://schemas.microsoft.com/office/drawing/2014/main" id="{A5198316-DEC0-4B02-9CF0-C85320FA2417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50" name="Line 35">
          <a:extLst>
            <a:ext uri="{FF2B5EF4-FFF2-40B4-BE49-F238E27FC236}">
              <a16:creationId xmlns:a16="http://schemas.microsoft.com/office/drawing/2014/main" id="{5361AC69-0A8C-4F98-AC5D-1090DF0ACFF1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51" name="Line 36">
          <a:extLst>
            <a:ext uri="{FF2B5EF4-FFF2-40B4-BE49-F238E27FC236}">
              <a16:creationId xmlns:a16="http://schemas.microsoft.com/office/drawing/2014/main" id="{A6D02B67-FB4F-451D-89AC-CA6C3EF8C185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52" name="Line 301">
          <a:extLst>
            <a:ext uri="{FF2B5EF4-FFF2-40B4-BE49-F238E27FC236}">
              <a16:creationId xmlns:a16="http://schemas.microsoft.com/office/drawing/2014/main" id="{97B029B3-AAC2-4470-96F9-E44AE2F82DC3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53" name="Line 302">
          <a:extLst>
            <a:ext uri="{FF2B5EF4-FFF2-40B4-BE49-F238E27FC236}">
              <a16:creationId xmlns:a16="http://schemas.microsoft.com/office/drawing/2014/main" id="{A854A1EF-ABE8-4F93-82C3-F33FC09E2DF3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54" name="Line 303">
          <a:extLst>
            <a:ext uri="{FF2B5EF4-FFF2-40B4-BE49-F238E27FC236}">
              <a16:creationId xmlns:a16="http://schemas.microsoft.com/office/drawing/2014/main" id="{16467928-1021-4AA8-A4F6-A6A47DE1125F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55" name="Line 34">
          <a:extLst>
            <a:ext uri="{FF2B5EF4-FFF2-40B4-BE49-F238E27FC236}">
              <a16:creationId xmlns:a16="http://schemas.microsoft.com/office/drawing/2014/main" id="{7A044E11-CC5D-419E-AFF8-3B2D31922C7C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56" name="Line 35">
          <a:extLst>
            <a:ext uri="{FF2B5EF4-FFF2-40B4-BE49-F238E27FC236}">
              <a16:creationId xmlns:a16="http://schemas.microsoft.com/office/drawing/2014/main" id="{34747F39-ECDA-4DAA-B8D3-7044A0177211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57" name="Line 36">
          <a:extLst>
            <a:ext uri="{FF2B5EF4-FFF2-40B4-BE49-F238E27FC236}">
              <a16:creationId xmlns:a16="http://schemas.microsoft.com/office/drawing/2014/main" id="{181619C3-F730-4540-BABF-A0E54DAD3269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58" name="Line 301">
          <a:extLst>
            <a:ext uri="{FF2B5EF4-FFF2-40B4-BE49-F238E27FC236}">
              <a16:creationId xmlns:a16="http://schemas.microsoft.com/office/drawing/2014/main" id="{0EF4485C-0BAC-4A9B-A3C4-363ADEC81944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59" name="Line 302">
          <a:extLst>
            <a:ext uri="{FF2B5EF4-FFF2-40B4-BE49-F238E27FC236}">
              <a16:creationId xmlns:a16="http://schemas.microsoft.com/office/drawing/2014/main" id="{F6784062-EE1F-4908-AD2B-323A8C80DF96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60" name="Line 303">
          <a:extLst>
            <a:ext uri="{FF2B5EF4-FFF2-40B4-BE49-F238E27FC236}">
              <a16:creationId xmlns:a16="http://schemas.microsoft.com/office/drawing/2014/main" id="{0CD1C2BA-3C33-4328-9C7A-0F988F4CB4A0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61" name="Line 34">
          <a:extLst>
            <a:ext uri="{FF2B5EF4-FFF2-40B4-BE49-F238E27FC236}">
              <a16:creationId xmlns:a16="http://schemas.microsoft.com/office/drawing/2014/main" id="{CA05BACE-705E-4669-B338-60C1AD13238F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62" name="Line 35">
          <a:extLst>
            <a:ext uri="{FF2B5EF4-FFF2-40B4-BE49-F238E27FC236}">
              <a16:creationId xmlns:a16="http://schemas.microsoft.com/office/drawing/2014/main" id="{A1B88462-82EB-487E-B279-0130B4C4D54A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63" name="Line 36">
          <a:extLst>
            <a:ext uri="{FF2B5EF4-FFF2-40B4-BE49-F238E27FC236}">
              <a16:creationId xmlns:a16="http://schemas.microsoft.com/office/drawing/2014/main" id="{9EA00983-1D3F-4BF1-AC58-9252B00C999B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64" name="Line 301">
          <a:extLst>
            <a:ext uri="{FF2B5EF4-FFF2-40B4-BE49-F238E27FC236}">
              <a16:creationId xmlns:a16="http://schemas.microsoft.com/office/drawing/2014/main" id="{A017C600-C9C4-41C5-81EC-351C882DBE5E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65" name="Line 302">
          <a:extLst>
            <a:ext uri="{FF2B5EF4-FFF2-40B4-BE49-F238E27FC236}">
              <a16:creationId xmlns:a16="http://schemas.microsoft.com/office/drawing/2014/main" id="{A6477977-A8FD-47C5-B2FB-0CCCF52CFC6B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66" name="Line 303">
          <a:extLst>
            <a:ext uri="{FF2B5EF4-FFF2-40B4-BE49-F238E27FC236}">
              <a16:creationId xmlns:a16="http://schemas.microsoft.com/office/drawing/2014/main" id="{2709D2DD-95DE-4FF1-8110-A7E1283B9848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67" name="Line 34">
          <a:extLst>
            <a:ext uri="{FF2B5EF4-FFF2-40B4-BE49-F238E27FC236}">
              <a16:creationId xmlns:a16="http://schemas.microsoft.com/office/drawing/2014/main" id="{537C24FC-4362-4815-B817-3A5FD8290144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68" name="Line 35">
          <a:extLst>
            <a:ext uri="{FF2B5EF4-FFF2-40B4-BE49-F238E27FC236}">
              <a16:creationId xmlns:a16="http://schemas.microsoft.com/office/drawing/2014/main" id="{0ED3307A-8E32-406C-9CBB-15A096FC2A4A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69" name="Line 36">
          <a:extLst>
            <a:ext uri="{FF2B5EF4-FFF2-40B4-BE49-F238E27FC236}">
              <a16:creationId xmlns:a16="http://schemas.microsoft.com/office/drawing/2014/main" id="{5C8634AA-46C5-49A2-9951-344AFB41B1CD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70" name="Line 301">
          <a:extLst>
            <a:ext uri="{FF2B5EF4-FFF2-40B4-BE49-F238E27FC236}">
              <a16:creationId xmlns:a16="http://schemas.microsoft.com/office/drawing/2014/main" id="{5E4229DB-B070-4694-8C8D-BE7546EE9CB6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71" name="Line 302">
          <a:extLst>
            <a:ext uri="{FF2B5EF4-FFF2-40B4-BE49-F238E27FC236}">
              <a16:creationId xmlns:a16="http://schemas.microsoft.com/office/drawing/2014/main" id="{D398B39F-119F-466A-9A85-D250FAB67D41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72" name="Line 303">
          <a:extLst>
            <a:ext uri="{FF2B5EF4-FFF2-40B4-BE49-F238E27FC236}">
              <a16:creationId xmlns:a16="http://schemas.microsoft.com/office/drawing/2014/main" id="{F59369C3-2B55-4142-9AEE-1A3921D854C7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73" name="Line 34">
          <a:extLst>
            <a:ext uri="{FF2B5EF4-FFF2-40B4-BE49-F238E27FC236}">
              <a16:creationId xmlns:a16="http://schemas.microsoft.com/office/drawing/2014/main" id="{D6991646-374C-424E-A984-4AE7411E4F70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74" name="Line 35">
          <a:extLst>
            <a:ext uri="{FF2B5EF4-FFF2-40B4-BE49-F238E27FC236}">
              <a16:creationId xmlns:a16="http://schemas.microsoft.com/office/drawing/2014/main" id="{9F1AF505-FAB3-4269-913B-036F3561A56A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75" name="Line 36">
          <a:extLst>
            <a:ext uri="{FF2B5EF4-FFF2-40B4-BE49-F238E27FC236}">
              <a16:creationId xmlns:a16="http://schemas.microsoft.com/office/drawing/2014/main" id="{64C48FCF-C238-4F4F-9F71-FF0ECA401A17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76" name="Line 301">
          <a:extLst>
            <a:ext uri="{FF2B5EF4-FFF2-40B4-BE49-F238E27FC236}">
              <a16:creationId xmlns:a16="http://schemas.microsoft.com/office/drawing/2014/main" id="{49266E91-6000-4064-B5B2-2CD8936C3488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77" name="Line 302">
          <a:extLst>
            <a:ext uri="{FF2B5EF4-FFF2-40B4-BE49-F238E27FC236}">
              <a16:creationId xmlns:a16="http://schemas.microsoft.com/office/drawing/2014/main" id="{9B1A4C74-A1EB-4D53-8B40-BA8E2C9776D4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78" name="Line 303">
          <a:extLst>
            <a:ext uri="{FF2B5EF4-FFF2-40B4-BE49-F238E27FC236}">
              <a16:creationId xmlns:a16="http://schemas.microsoft.com/office/drawing/2014/main" id="{6DF5FC14-FBB8-4099-BB39-5BAC987C87EF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79" name="Line 34">
          <a:extLst>
            <a:ext uri="{FF2B5EF4-FFF2-40B4-BE49-F238E27FC236}">
              <a16:creationId xmlns:a16="http://schemas.microsoft.com/office/drawing/2014/main" id="{D0CE226E-B144-4B28-B886-6A9711DA008B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80" name="Line 35">
          <a:extLst>
            <a:ext uri="{FF2B5EF4-FFF2-40B4-BE49-F238E27FC236}">
              <a16:creationId xmlns:a16="http://schemas.microsoft.com/office/drawing/2014/main" id="{862667D2-E1A6-45AB-A82D-4AEA1738F23A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81" name="Line 36">
          <a:extLst>
            <a:ext uri="{FF2B5EF4-FFF2-40B4-BE49-F238E27FC236}">
              <a16:creationId xmlns:a16="http://schemas.microsoft.com/office/drawing/2014/main" id="{0E54D490-A883-4EE8-A9DC-F56E70F95DCE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82" name="Line 301">
          <a:extLst>
            <a:ext uri="{FF2B5EF4-FFF2-40B4-BE49-F238E27FC236}">
              <a16:creationId xmlns:a16="http://schemas.microsoft.com/office/drawing/2014/main" id="{491235FF-C4C1-44D0-A780-26E364F6C4FB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83" name="Line 302">
          <a:extLst>
            <a:ext uri="{FF2B5EF4-FFF2-40B4-BE49-F238E27FC236}">
              <a16:creationId xmlns:a16="http://schemas.microsoft.com/office/drawing/2014/main" id="{2E7B6AC7-EF30-49A9-A7F8-089D450E7D7D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84" name="Line 303">
          <a:extLst>
            <a:ext uri="{FF2B5EF4-FFF2-40B4-BE49-F238E27FC236}">
              <a16:creationId xmlns:a16="http://schemas.microsoft.com/office/drawing/2014/main" id="{1E03BBF9-68AB-4856-A57C-A2E4821F3BE8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85" name="Line 34">
          <a:extLst>
            <a:ext uri="{FF2B5EF4-FFF2-40B4-BE49-F238E27FC236}">
              <a16:creationId xmlns:a16="http://schemas.microsoft.com/office/drawing/2014/main" id="{7047F915-E0C5-40F7-8D3C-903950504103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86" name="Line 35">
          <a:extLst>
            <a:ext uri="{FF2B5EF4-FFF2-40B4-BE49-F238E27FC236}">
              <a16:creationId xmlns:a16="http://schemas.microsoft.com/office/drawing/2014/main" id="{02CA359D-9723-4575-9D99-C7939EE78029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87" name="Line 36">
          <a:extLst>
            <a:ext uri="{FF2B5EF4-FFF2-40B4-BE49-F238E27FC236}">
              <a16:creationId xmlns:a16="http://schemas.microsoft.com/office/drawing/2014/main" id="{1BAD368C-874C-44B2-9E94-2CC6AA397CBF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88" name="Line 301">
          <a:extLst>
            <a:ext uri="{FF2B5EF4-FFF2-40B4-BE49-F238E27FC236}">
              <a16:creationId xmlns:a16="http://schemas.microsoft.com/office/drawing/2014/main" id="{B89C300B-3695-46CD-980A-DCF8AC9CA2F9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89" name="Line 302">
          <a:extLst>
            <a:ext uri="{FF2B5EF4-FFF2-40B4-BE49-F238E27FC236}">
              <a16:creationId xmlns:a16="http://schemas.microsoft.com/office/drawing/2014/main" id="{90016D94-4682-4EAC-83DE-8D1B83371B7D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2</xdr:row>
      <xdr:rowOff>228600</xdr:rowOff>
    </xdr:from>
    <xdr:to>
      <xdr:col>31</xdr:col>
      <xdr:colOff>19050</xdr:colOff>
      <xdr:row>3</xdr:row>
      <xdr:rowOff>9525</xdr:rowOff>
    </xdr:to>
    <xdr:sp macro="" textlink="">
      <xdr:nvSpPr>
        <xdr:cNvPr id="690" name="Line 303">
          <a:extLst>
            <a:ext uri="{FF2B5EF4-FFF2-40B4-BE49-F238E27FC236}">
              <a16:creationId xmlns:a16="http://schemas.microsoft.com/office/drawing/2014/main" id="{448EC3CB-C69A-4EAD-8097-0E30A2F4C4E1}"/>
            </a:ext>
          </a:extLst>
        </xdr:cNvPr>
        <xdr:cNvSpPr>
          <a:spLocks noChangeShapeType="1"/>
        </xdr:cNvSpPr>
      </xdr:nvSpPr>
      <xdr:spPr bwMode="auto">
        <a:xfrm flipH="1" flipV="1">
          <a:off x="1385887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691" name="Line 8367">
          <a:extLst>
            <a:ext uri="{FF2B5EF4-FFF2-40B4-BE49-F238E27FC236}">
              <a16:creationId xmlns:a16="http://schemas.microsoft.com/office/drawing/2014/main" id="{3403E9C3-679E-415E-B71C-529C1E483E1B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19050</xdr:colOff>
      <xdr:row>3</xdr:row>
      <xdr:rowOff>9525</xdr:rowOff>
    </xdr:to>
    <xdr:sp macro="" textlink="">
      <xdr:nvSpPr>
        <xdr:cNvPr id="692" name="Line 8369">
          <a:extLst>
            <a:ext uri="{FF2B5EF4-FFF2-40B4-BE49-F238E27FC236}">
              <a16:creationId xmlns:a16="http://schemas.microsoft.com/office/drawing/2014/main" id="{F1424F23-1384-4489-B616-4EDDBC9F9F30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693" name="Line 34">
          <a:extLst>
            <a:ext uri="{FF2B5EF4-FFF2-40B4-BE49-F238E27FC236}">
              <a16:creationId xmlns:a16="http://schemas.microsoft.com/office/drawing/2014/main" id="{5DC5AA39-CE76-4978-A54F-4B82C085ECFD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694" name="Line 35">
          <a:extLst>
            <a:ext uri="{FF2B5EF4-FFF2-40B4-BE49-F238E27FC236}">
              <a16:creationId xmlns:a16="http://schemas.microsoft.com/office/drawing/2014/main" id="{D0BE422B-02CD-4946-86B5-038AC29D9FAA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695" name="Line 36">
          <a:extLst>
            <a:ext uri="{FF2B5EF4-FFF2-40B4-BE49-F238E27FC236}">
              <a16:creationId xmlns:a16="http://schemas.microsoft.com/office/drawing/2014/main" id="{44D68C9A-F6F7-42C1-9E24-6C97B6C1C23C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696" name="Line 301">
          <a:extLst>
            <a:ext uri="{FF2B5EF4-FFF2-40B4-BE49-F238E27FC236}">
              <a16:creationId xmlns:a16="http://schemas.microsoft.com/office/drawing/2014/main" id="{77EAF7D9-8154-4D1D-AE20-BCA9735488A6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697" name="Line 302">
          <a:extLst>
            <a:ext uri="{FF2B5EF4-FFF2-40B4-BE49-F238E27FC236}">
              <a16:creationId xmlns:a16="http://schemas.microsoft.com/office/drawing/2014/main" id="{7D67CABC-A44A-4D48-B2A3-EB83D95C0599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698" name="Line 303">
          <a:extLst>
            <a:ext uri="{FF2B5EF4-FFF2-40B4-BE49-F238E27FC236}">
              <a16:creationId xmlns:a16="http://schemas.microsoft.com/office/drawing/2014/main" id="{7783D795-F571-4467-808B-C5DF76696F94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699" name="Line 8400">
          <a:extLst>
            <a:ext uri="{FF2B5EF4-FFF2-40B4-BE49-F238E27FC236}">
              <a16:creationId xmlns:a16="http://schemas.microsoft.com/office/drawing/2014/main" id="{76D69A9A-4E51-4C22-8D45-30FF2568D95A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19050</xdr:colOff>
      <xdr:row>3</xdr:row>
      <xdr:rowOff>9525</xdr:rowOff>
    </xdr:to>
    <xdr:sp macro="" textlink="">
      <xdr:nvSpPr>
        <xdr:cNvPr id="700" name="Line 8401">
          <a:extLst>
            <a:ext uri="{FF2B5EF4-FFF2-40B4-BE49-F238E27FC236}">
              <a16:creationId xmlns:a16="http://schemas.microsoft.com/office/drawing/2014/main" id="{F96B46B6-9D1B-4AF6-8755-877947D587C9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01" name="Line 34">
          <a:extLst>
            <a:ext uri="{FF2B5EF4-FFF2-40B4-BE49-F238E27FC236}">
              <a16:creationId xmlns:a16="http://schemas.microsoft.com/office/drawing/2014/main" id="{08272FE1-36DF-48A7-854E-0DFC496F4D55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02" name="Line 35">
          <a:extLst>
            <a:ext uri="{FF2B5EF4-FFF2-40B4-BE49-F238E27FC236}">
              <a16:creationId xmlns:a16="http://schemas.microsoft.com/office/drawing/2014/main" id="{34C3F844-7C05-429F-BE96-9E8B445FEF6E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03" name="Line 36">
          <a:extLst>
            <a:ext uri="{FF2B5EF4-FFF2-40B4-BE49-F238E27FC236}">
              <a16:creationId xmlns:a16="http://schemas.microsoft.com/office/drawing/2014/main" id="{ECF6C6A1-F2FF-4256-8483-A688CD754CFF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04" name="Line 301">
          <a:extLst>
            <a:ext uri="{FF2B5EF4-FFF2-40B4-BE49-F238E27FC236}">
              <a16:creationId xmlns:a16="http://schemas.microsoft.com/office/drawing/2014/main" id="{999F5F5F-0B66-4F36-9DC9-256DD2F5737B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05" name="Line 302">
          <a:extLst>
            <a:ext uri="{FF2B5EF4-FFF2-40B4-BE49-F238E27FC236}">
              <a16:creationId xmlns:a16="http://schemas.microsoft.com/office/drawing/2014/main" id="{DD736099-5107-4559-9341-CBDA0EFFB803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06" name="Line 303">
          <a:extLst>
            <a:ext uri="{FF2B5EF4-FFF2-40B4-BE49-F238E27FC236}">
              <a16:creationId xmlns:a16="http://schemas.microsoft.com/office/drawing/2014/main" id="{53F86981-DC30-4BBA-9E02-7115F5482580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07" name="Line 34">
          <a:extLst>
            <a:ext uri="{FF2B5EF4-FFF2-40B4-BE49-F238E27FC236}">
              <a16:creationId xmlns:a16="http://schemas.microsoft.com/office/drawing/2014/main" id="{79FDB378-9534-45E9-937E-3ED8230E9C68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08" name="Line 35">
          <a:extLst>
            <a:ext uri="{FF2B5EF4-FFF2-40B4-BE49-F238E27FC236}">
              <a16:creationId xmlns:a16="http://schemas.microsoft.com/office/drawing/2014/main" id="{2534A871-C384-4122-BAA6-A772A39FD8AF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09" name="Line 36">
          <a:extLst>
            <a:ext uri="{FF2B5EF4-FFF2-40B4-BE49-F238E27FC236}">
              <a16:creationId xmlns:a16="http://schemas.microsoft.com/office/drawing/2014/main" id="{4AF9B712-BDBE-4EE5-B642-F34F4D7F1A2F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10" name="Line 301">
          <a:extLst>
            <a:ext uri="{FF2B5EF4-FFF2-40B4-BE49-F238E27FC236}">
              <a16:creationId xmlns:a16="http://schemas.microsoft.com/office/drawing/2014/main" id="{F9DA99BE-0890-4EBC-9653-8DF7698C18BC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11" name="Line 302">
          <a:extLst>
            <a:ext uri="{FF2B5EF4-FFF2-40B4-BE49-F238E27FC236}">
              <a16:creationId xmlns:a16="http://schemas.microsoft.com/office/drawing/2014/main" id="{FC40EDA2-596D-4CDD-8A17-D55D27966078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12" name="Line 303">
          <a:extLst>
            <a:ext uri="{FF2B5EF4-FFF2-40B4-BE49-F238E27FC236}">
              <a16:creationId xmlns:a16="http://schemas.microsoft.com/office/drawing/2014/main" id="{A6074AFC-65A4-4759-9A18-A6363DF18DEB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13" name="Line 34">
          <a:extLst>
            <a:ext uri="{FF2B5EF4-FFF2-40B4-BE49-F238E27FC236}">
              <a16:creationId xmlns:a16="http://schemas.microsoft.com/office/drawing/2014/main" id="{F3C40010-C962-4861-9FD2-E2B07B789F4A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14" name="Line 35">
          <a:extLst>
            <a:ext uri="{FF2B5EF4-FFF2-40B4-BE49-F238E27FC236}">
              <a16:creationId xmlns:a16="http://schemas.microsoft.com/office/drawing/2014/main" id="{D79C8A11-6279-4E15-A603-2102FF04AE9A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15" name="Line 36">
          <a:extLst>
            <a:ext uri="{FF2B5EF4-FFF2-40B4-BE49-F238E27FC236}">
              <a16:creationId xmlns:a16="http://schemas.microsoft.com/office/drawing/2014/main" id="{B21ADC89-3593-4D76-91AA-C07ADFC7ACB0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16" name="Line 301">
          <a:extLst>
            <a:ext uri="{FF2B5EF4-FFF2-40B4-BE49-F238E27FC236}">
              <a16:creationId xmlns:a16="http://schemas.microsoft.com/office/drawing/2014/main" id="{CF2306CA-3C8D-4964-AF7C-14AF91255AA9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17" name="Line 302">
          <a:extLst>
            <a:ext uri="{FF2B5EF4-FFF2-40B4-BE49-F238E27FC236}">
              <a16:creationId xmlns:a16="http://schemas.microsoft.com/office/drawing/2014/main" id="{F41875E4-C441-4E1E-BB55-6F633544E39E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18" name="Line 303">
          <a:extLst>
            <a:ext uri="{FF2B5EF4-FFF2-40B4-BE49-F238E27FC236}">
              <a16:creationId xmlns:a16="http://schemas.microsoft.com/office/drawing/2014/main" id="{F3D745FE-EAC9-41BF-A26A-C6041BBCCE04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19" name="Line 34">
          <a:extLst>
            <a:ext uri="{FF2B5EF4-FFF2-40B4-BE49-F238E27FC236}">
              <a16:creationId xmlns:a16="http://schemas.microsoft.com/office/drawing/2014/main" id="{17A0630E-651B-43B2-B976-E784C7940EBC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20" name="Line 35">
          <a:extLst>
            <a:ext uri="{FF2B5EF4-FFF2-40B4-BE49-F238E27FC236}">
              <a16:creationId xmlns:a16="http://schemas.microsoft.com/office/drawing/2014/main" id="{A1E33BE1-0AB9-40F5-88B9-ABA0AFFC2780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21" name="Line 36">
          <a:extLst>
            <a:ext uri="{FF2B5EF4-FFF2-40B4-BE49-F238E27FC236}">
              <a16:creationId xmlns:a16="http://schemas.microsoft.com/office/drawing/2014/main" id="{5992E4F8-E193-496E-892F-0D67F2FC630C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22" name="Line 301">
          <a:extLst>
            <a:ext uri="{FF2B5EF4-FFF2-40B4-BE49-F238E27FC236}">
              <a16:creationId xmlns:a16="http://schemas.microsoft.com/office/drawing/2014/main" id="{77337E9B-6C3B-40BE-B9DD-21D274968E3A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23" name="Line 302">
          <a:extLst>
            <a:ext uri="{FF2B5EF4-FFF2-40B4-BE49-F238E27FC236}">
              <a16:creationId xmlns:a16="http://schemas.microsoft.com/office/drawing/2014/main" id="{F749F53B-9020-4F4D-B4C1-8BF429929A04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24" name="Line 303">
          <a:extLst>
            <a:ext uri="{FF2B5EF4-FFF2-40B4-BE49-F238E27FC236}">
              <a16:creationId xmlns:a16="http://schemas.microsoft.com/office/drawing/2014/main" id="{4579ACD0-9384-40CE-84CD-915E803C0BF7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25" name="Line 34">
          <a:extLst>
            <a:ext uri="{FF2B5EF4-FFF2-40B4-BE49-F238E27FC236}">
              <a16:creationId xmlns:a16="http://schemas.microsoft.com/office/drawing/2014/main" id="{12CF5F49-60F3-4779-B121-32EF52B61E51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26" name="Line 35">
          <a:extLst>
            <a:ext uri="{FF2B5EF4-FFF2-40B4-BE49-F238E27FC236}">
              <a16:creationId xmlns:a16="http://schemas.microsoft.com/office/drawing/2014/main" id="{F997783D-72FE-428F-A723-1ACC111CB651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27" name="Line 36">
          <a:extLst>
            <a:ext uri="{FF2B5EF4-FFF2-40B4-BE49-F238E27FC236}">
              <a16:creationId xmlns:a16="http://schemas.microsoft.com/office/drawing/2014/main" id="{AF0A54B4-C911-4088-8FFC-233DD2CCA7C9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28" name="Line 301">
          <a:extLst>
            <a:ext uri="{FF2B5EF4-FFF2-40B4-BE49-F238E27FC236}">
              <a16:creationId xmlns:a16="http://schemas.microsoft.com/office/drawing/2014/main" id="{09141B67-186A-4D05-85F5-E328DBAEC0FD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29" name="Line 302">
          <a:extLst>
            <a:ext uri="{FF2B5EF4-FFF2-40B4-BE49-F238E27FC236}">
              <a16:creationId xmlns:a16="http://schemas.microsoft.com/office/drawing/2014/main" id="{EEE9540F-7A5A-48F3-8EF3-AC91629958A4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30" name="Line 303">
          <a:extLst>
            <a:ext uri="{FF2B5EF4-FFF2-40B4-BE49-F238E27FC236}">
              <a16:creationId xmlns:a16="http://schemas.microsoft.com/office/drawing/2014/main" id="{5244C9A5-5670-47CB-87C9-390B6A7D2B7B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31" name="Line 34">
          <a:extLst>
            <a:ext uri="{FF2B5EF4-FFF2-40B4-BE49-F238E27FC236}">
              <a16:creationId xmlns:a16="http://schemas.microsoft.com/office/drawing/2014/main" id="{C81B9933-B32D-4A51-90A7-C01D548635A7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32" name="Line 35">
          <a:extLst>
            <a:ext uri="{FF2B5EF4-FFF2-40B4-BE49-F238E27FC236}">
              <a16:creationId xmlns:a16="http://schemas.microsoft.com/office/drawing/2014/main" id="{C110A5BA-23B8-4EF5-B2C9-C066EE84A42B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33" name="Line 36">
          <a:extLst>
            <a:ext uri="{FF2B5EF4-FFF2-40B4-BE49-F238E27FC236}">
              <a16:creationId xmlns:a16="http://schemas.microsoft.com/office/drawing/2014/main" id="{34FF6A60-E4D2-4288-ABEE-75C69243528B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34" name="Line 301">
          <a:extLst>
            <a:ext uri="{FF2B5EF4-FFF2-40B4-BE49-F238E27FC236}">
              <a16:creationId xmlns:a16="http://schemas.microsoft.com/office/drawing/2014/main" id="{4D83FAF9-50E3-4A62-B426-28BE4CD7D3D4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35" name="Line 302">
          <a:extLst>
            <a:ext uri="{FF2B5EF4-FFF2-40B4-BE49-F238E27FC236}">
              <a16:creationId xmlns:a16="http://schemas.microsoft.com/office/drawing/2014/main" id="{5E55332C-2198-421E-82B9-97D5DE90670C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36" name="Line 303">
          <a:extLst>
            <a:ext uri="{FF2B5EF4-FFF2-40B4-BE49-F238E27FC236}">
              <a16:creationId xmlns:a16="http://schemas.microsoft.com/office/drawing/2014/main" id="{F6749849-D83B-44E7-BE81-9532ACC73448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37" name="Line 34">
          <a:extLst>
            <a:ext uri="{FF2B5EF4-FFF2-40B4-BE49-F238E27FC236}">
              <a16:creationId xmlns:a16="http://schemas.microsoft.com/office/drawing/2014/main" id="{E4986588-F529-4FF6-8C32-68E34C0809C9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38" name="Line 35">
          <a:extLst>
            <a:ext uri="{FF2B5EF4-FFF2-40B4-BE49-F238E27FC236}">
              <a16:creationId xmlns:a16="http://schemas.microsoft.com/office/drawing/2014/main" id="{2EEADF4A-A785-4CE3-BB28-DDA6C95B7AC0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39" name="Line 36">
          <a:extLst>
            <a:ext uri="{FF2B5EF4-FFF2-40B4-BE49-F238E27FC236}">
              <a16:creationId xmlns:a16="http://schemas.microsoft.com/office/drawing/2014/main" id="{B90A8921-8545-486A-8120-1869BD599873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40" name="Line 301">
          <a:extLst>
            <a:ext uri="{FF2B5EF4-FFF2-40B4-BE49-F238E27FC236}">
              <a16:creationId xmlns:a16="http://schemas.microsoft.com/office/drawing/2014/main" id="{5E4EE60E-F969-4987-BA03-226A088969F1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41" name="Line 302">
          <a:extLst>
            <a:ext uri="{FF2B5EF4-FFF2-40B4-BE49-F238E27FC236}">
              <a16:creationId xmlns:a16="http://schemas.microsoft.com/office/drawing/2014/main" id="{65A5902A-A63E-4943-A648-597DF78172EB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42" name="Line 303">
          <a:extLst>
            <a:ext uri="{FF2B5EF4-FFF2-40B4-BE49-F238E27FC236}">
              <a16:creationId xmlns:a16="http://schemas.microsoft.com/office/drawing/2014/main" id="{15853014-0E82-4B76-9C09-D329B7558D06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43" name="Line 34">
          <a:extLst>
            <a:ext uri="{FF2B5EF4-FFF2-40B4-BE49-F238E27FC236}">
              <a16:creationId xmlns:a16="http://schemas.microsoft.com/office/drawing/2014/main" id="{504B6E36-802F-45E6-8DBD-F48240156419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44" name="Line 35">
          <a:extLst>
            <a:ext uri="{FF2B5EF4-FFF2-40B4-BE49-F238E27FC236}">
              <a16:creationId xmlns:a16="http://schemas.microsoft.com/office/drawing/2014/main" id="{30F0D4ED-1F38-4989-B0D0-38EEFACA98BC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45" name="Line 36">
          <a:extLst>
            <a:ext uri="{FF2B5EF4-FFF2-40B4-BE49-F238E27FC236}">
              <a16:creationId xmlns:a16="http://schemas.microsoft.com/office/drawing/2014/main" id="{CB4FAD47-0BB1-44EF-B6CE-84C02870A540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46" name="Line 301">
          <a:extLst>
            <a:ext uri="{FF2B5EF4-FFF2-40B4-BE49-F238E27FC236}">
              <a16:creationId xmlns:a16="http://schemas.microsoft.com/office/drawing/2014/main" id="{9D93CB3B-84AF-4C2D-8682-21C4E5547093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47" name="Line 302">
          <a:extLst>
            <a:ext uri="{FF2B5EF4-FFF2-40B4-BE49-F238E27FC236}">
              <a16:creationId xmlns:a16="http://schemas.microsoft.com/office/drawing/2014/main" id="{6FAA9E73-4DBC-4171-883D-87BF73E63988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48" name="Line 303">
          <a:extLst>
            <a:ext uri="{FF2B5EF4-FFF2-40B4-BE49-F238E27FC236}">
              <a16:creationId xmlns:a16="http://schemas.microsoft.com/office/drawing/2014/main" id="{EA4CC300-5396-4B50-BC31-1BBE0BFFEC58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49" name="Line 34">
          <a:extLst>
            <a:ext uri="{FF2B5EF4-FFF2-40B4-BE49-F238E27FC236}">
              <a16:creationId xmlns:a16="http://schemas.microsoft.com/office/drawing/2014/main" id="{DAF54D4A-3AE9-495B-A203-D10B1109FF29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50" name="Line 35">
          <a:extLst>
            <a:ext uri="{FF2B5EF4-FFF2-40B4-BE49-F238E27FC236}">
              <a16:creationId xmlns:a16="http://schemas.microsoft.com/office/drawing/2014/main" id="{A11D0435-C7B7-4635-ACE0-B8FD88289052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51" name="Line 36">
          <a:extLst>
            <a:ext uri="{FF2B5EF4-FFF2-40B4-BE49-F238E27FC236}">
              <a16:creationId xmlns:a16="http://schemas.microsoft.com/office/drawing/2014/main" id="{02505E0B-3D76-4EF0-A7A6-0CCF7E459E11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52" name="Line 301">
          <a:extLst>
            <a:ext uri="{FF2B5EF4-FFF2-40B4-BE49-F238E27FC236}">
              <a16:creationId xmlns:a16="http://schemas.microsoft.com/office/drawing/2014/main" id="{5BD2D8F5-F1B1-4388-B50E-2E96528C6CBF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53" name="Line 302">
          <a:extLst>
            <a:ext uri="{FF2B5EF4-FFF2-40B4-BE49-F238E27FC236}">
              <a16:creationId xmlns:a16="http://schemas.microsoft.com/office/drawing/2014/main" id="{B77A8273-712F-4FE9-862F-339907221E32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54" name="Line 303">
          <a:extLst>
            <a:ext uri="{FF2B5EF4-FFF2-40B4-BE49-F238E27FC236}">
              <a16:creationId xmlns:a16="http://schemas.microsoft.com/office/drawing/2014/main" id="{8F86A056-219C-460F-AAC3-98772892FCC7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55" name="Line 34">
          <a:extLst>
            <a:ext uri="{FF2B5EF4-FFF2-40B4-BE49-F238E27FC236}">
              <a16:creationId xmlns:a16="http://schemas.microsoft.com/office/drawing/2014/main" id="{AED39916-7C61-42DC-8046-397D5075B518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56" name="Line 35">
          <a:extLst>
            <a:ext uri="{FF2B5EF4-FFF2-40B4-BE49-F238E27FC236}">
              <a16:creationId xmlns:a16="http://schemas.microsoft.com/office/drawing/2014/main" id="{A694EB16-4399-4563-9C92-3F770DF40D8D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57" name="Line 36">
          <a:extLst>
            <a:ext uri="{FF2B5EF4-FFF2-40B4-BE49-F238E27FC236}">
              <a16:creationId xmlns:a16="http://schemas.microsoft.com/office/drawing/2014/main" id="{08000492-A2F9-4CE0-BA56-E67A17A0B33F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58" name="Line 301">
          <a:extLst>
            <a:ext uri="{FF2B5EF4-FFF2-40B4-BE49-F238E27FC236}">
              <a16:creationId xmlns:a16="http://schemas.microsoft.com/office/drawing/2014/main" id="{AC6612ED-1879-42F5-AF4B-CA2B66D800EB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59" name="Line 302">
          <a:extLst>
            <a:ext uri="{FF2B5EF4-FFF2-40B4-BE49-F238E27FC236}">
              <a16:creationId xmlns:a16="http://schemas.microsoft.com/office/drawing/2014/main" id="{45A380B9-7E70-40F9-80C0-6F0F40EC6C85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60" name="Line 303">
          <a:extLst>
            <a:ext uri="{FF2B5EF4-FFF2-40B4-BE49-F238E27FC236}">
              <a16:creationId xmlns:a16="http://schemas.microsoft.com/office/drawing/2014/main" id="{4E2DB733-AFF0-4B5B-87C8-1AE653D3BE82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61" name="Line 34">
          <a:extLst>
            <a:ext uri="{FF2B5EF4-FFF2-40B4-BE49-F238E27FC236}">
              <a16:creationId xmlns:a16="http://schemas.microsoft.com/office/drawing/2014/main" id="{CA374519-719F-46D5-9DA9-05B7E71E07EC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62" name="Line 35">
          <a:extLst>
            <a:ext uri="{FF2B5EF4-FFF2-40B4-BE49-F238E27FC236}">
              <a16:creationId xmlns:a16="http://schemas.microsoft.com/office/drawing/2014/main" id="{4E7A75A9-AEF1-49C4-BD8F-2B1851B1A647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63" name="Line 36">
          <a:extLst>
            <a:ext uri="{FF2B5EF4-FFF2-40B4-BE49-F238E27FC236}">
              <a16:creationId xmlns:a16="http://schemas.microsoft.com/office/drawing/2014/main" id="{AD600482-F87E-480D-9F6D-84825891B984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64" name="Line 301">
          <a:extLst>
            <a:ext uri="{FF2B5EF4-FFF2-40B4-BE49-F238E27FC236}">
              <a16:creationId xmlns:a16="http://schemas.microsoft.com/office/drawing/2014/main" id="{4BA03031-C794-40F4-8E1F-19C3AD539CD5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65" name="Line 302">
          <a:extLst>
            <a:ext uri="{FF2B5EF4-FFF2-40B4-BE49-F238E27FC236}">
              <a16:creationId xmlns:a16="http://schemas.microsoft.com/office/drawing/2014/main" id="{BFEFCCAD-E45F-4A3E-8426-9749428F9DB1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66" name="Line 303">
          <a:extLst>
            <a:ext uri="{FF2B5EF4-FFF2-40B4-BE49-F238E27FC236}">
              <a16:creationId xmlns:a16="http://schemas.microsoft.com/office/drawing/2014/main" id="{9A7A7B04-6C9B-4D17-BA60-C7CC9C0F689E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67" name="Line 34">
          <a:extLst>
            <a:ext uri="{FF2B5EF4-FFF2-40B4-BE49-F238E27FC236}">
              <a16:creationId xmlns:a16="http://schemas.microsoft.com/office/drawing/2014/main" id="{9AED580E-F76C-47E3-BF42-B6245A84F4CE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68" name="Line 35">
          <a:extLst>
            <a:ext uri="{FF2B5EF4-FFF2-40B4-BE49-F238E27FC236}">
              <a16:creationId xmlns:a16="http://schemas.microsoft.com/office/drawing/2014/main" id="{3E557880-DA60-484D-8732-B5624D308167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69" name="Line 36">
          <a:extLst>
            <a:ext uri="{FF2B5EF4-FFF2-40B4-BE49-F238E27FC236}">
              <a16:creationId xmlns:a16="http://schemas.microsoft.com/office/drawing/2014/main" id="{C27022C6-5478-42BA-8ADE-4BDED558CFA6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70" name="Line 301">
          <a:extLst>
            <a:ext uri="{FF2B5EF4-FFF2-40B4-BE49-F238E27FC236}">
              <a16:creationId xmlns:a16="http://schemas.microsoft.com/office/drawing/2014/main" id="{FF9D76A9-74F5-4751-83F4-F644D2333C1F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71" name="Line 302">
          <a:extLst>
            <a:ext uri="{FF2B5EF4-FFF2-40B4-BE49-F238E27FC236}">
              <a16:creationId xmlns:a16="http://schemas.microsoft.com/office/drawing/2014/main" id="{6C026749-E6FE-442A-9A9B-77D5433A694C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72" name="Line 303">
          <a:extLst>
            <a:ext uri="{FF2B5EF4-FFF2-40B4-BE49-F238E27FC236}">
              <a16:creationId xmlns:a16="http://schemas.microsoft.com/office/drawing/2014/main" id="{B0FE093A-92D5-441B-9705-7502A705C1D8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73" name="Line 34">
          <a:extLst>
            <a:ext uri="{FF2B5EF4-FFF2-40B4-BE49-F238E27FC236}">
              <a16:creationId xmlns:a16="http://schemas.microsoft.com/office/drawing/2014/main" id="{3F9D9FEA-8C06-4AF4-AA2F-2E09FC40B12F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74" name="Line 35">
          <a:extLst>
            <a:ext uri="{FF2B5EF4-FFF2-40B4-BE49-F238E27FC236}">
              <a16:creationId xmlns:a16="http://schemas.microsoft.com/office/drawing/2014/main" id="{D70576F5-4BE8-491E-8A7E-1A9962B34426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75" name="Line 36">
          <a:extLst>
            <a:ext uri="{FF2B5EF4-FFF2-40B4-BE49-F238E27FC236}">
              <a16:creationId xmlns:a16="http://schemas.microsoft.com/office/drawing/2014/main" id="{6B8E9205-1DC0-4448-BB1B-D2F4BE08E448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76" name="Line 301">
          <a:extLst>
            <a:ext uri="{FF2B5EF4-FFF2-40B4-BE49-F238E27FC236}">
              <a16:creationId xmlns:a16="http://schemas.microsoft.com/office/drawing/2014/main" id="{EF79A1CF-2508-4E87-B8F9-2EE7CC59B9B2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77" name="Line 302">
          <a:extLst>
            <a:ext uri="{FF2B5EF4-FFF2-40B4-BE49-F238E27FC236}">
              <a16:creationId xmlns:a16="http://schemas.microsoft.com/office/drawing/2014/main" id="{D3C48148-1FDE-4BB8-AADC-26A8AE15EE49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78" name="Line 303">
          <a:extLst>
            <a:ext uri="{FF2B5EF4-FFF2-40B4-BE49-F238E27FC236}">
              <a16:creationId xmlns:a16="http://schemas.microsoft.com/office/drawing/2014/main" id="{1A396482-7C36-4195-AE9E-7887C2FF2BA7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79" name="Line 34">
          <a:extLst>
            <a:ext uri="{FF2B5EF4-FFF2-40B4-BE49-F238E27FC236}">
              <a16:creationId xmlns:a16="http://schemas.microsoft.com/office/drawing/2014/main" id="{92F96366-CB6B-4959-99F1-589E37553B93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80" name="Line 35">
          <a:extLst>
            <a:ext uri="{FF2B5EF4-FFF2-40B4-BE49-F238E27FC236}">
              <a16:creationId xmlns:a16="http://schemas.microsoft.com/office/drawing/2014/main" id="{42198D47-5636-4805-AD6C-4DA3D04F3A3D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81" name="Line 36">
          <a:extLst>
            <a:ext uri="{FF2B5EF4-FFF2-40B4-BE49-F238E27FC236}">
              <a16:creationId xmlns:a16="http://schemas.microsoft.com/office/drawing/2014/main" id="{0A8AAEF6-C67E-4B80-A7A2-22FAD45A9379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82" name="Line 301">
          <a:extLst>
            <a:ext uri="{FF2B5EF4-FFF2-40B4-BE49-F238E27FC236}">
              <a16:creationId xmlns:a16="http://schemas.microsoft.com/office/drawing/2014/main" id="{1C94BE78-EA56-4F5A-A3C6-79DA529A1605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83" name="Line 302">
          <a:extLst>
            <a:ext uri="{FF2B5EF4-FFF2-40B4-BE49-F238E27FC236}">
              <a16:creationId xmlns:a16="http://schemas.microsoft.com/office/drawing/2014/main" id="{ED3CCBC6-66CB-497E-8FCC-561D8A1B4989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84" name="Line 303">
          <a:extLst>
            <a:ext uri="{FF2B5EF4-FFF2-40B4-BE49-F238E27FC236}">
              <a16:creationId xmlns:a16="http://schemas.microsoft.com/office/drawing/2014/main" id="{6D382AA5-ECD0-4FAF-A606-AAD730119013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85" name="Line 34">
          <a:extLst>
            <a:ext uri="{FF2B5EF4-FFF2-40B4-BE49-F238E27FC236}">
              <a16:creationId xmlns:a16="http://schemas.microsoft.com/office/drawing/2014/main" id="{E60DF979-B90E-4EF0-8636-07C6F0530AF2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86" name="Line 35">
          <a:extLst>
            <a:ext uri="{FF2B5EF4-FFF2-40B4-BE49-F238E27FC236}">
              <a16:creationId xmlns:a16="http://schemas.microsoft.com/office/drawing/2014/main" id="{1E5D1F0F-1BB1-4969-9C34-F63B50E1D485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87" name="Line 36">
          <a:extLst>
            <a:ext uri="{FF2B5EF4-FFF2-40B4-BE49-F238E27FC236}">
              <a16:creationId xmlns:a16="http://schemas.microsoft.com/office/drawing/2014/main" id="{4119E95D-774E-4A29-B588-AF263804574F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88" name="Line 301">
          <a:extLst>
            <a:ext uri="{FF2B5EF4-FFF2-40B4-BE49-F238E27FC236}">
              <a16:creationId xmlns:a16="http://schemas.microsoft.com/office/drawing/2014/main" id="{1187DFE0-5AC5-4848-B5C0-5B564DBA1AFF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89" name="Line 302">
          <a:extLst>
            <a:ext uri="{FF2B5EF4-FFF2-40B4-BE49-F238E27FC236}">
              <a16:creationId xmlns:a16="http://schemas.microsoft.com/office/drawing/2014/main" id="{F54615C1-92B9-4809-B67E-C5355948551D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228600</xdr:rowOff>
    </xdr:from>
    <xdr:to>
      <xdr:col>35</xdr:col>
      <xdr:colOff>19050</xdr:colOff>
      <xdr:row>3</xdr:row>
      <xdr:rowOff>9525</xdr:rowOff>
    </xdr:to>
    <xdr:sp macro="" textlink="">
      <xdr:nvSpPr>
        <xdr:cNvPr id="790" name="Line 303">
          <a:extLst>
            <a:ext uri="{FF2B5EF4-FFF2-40B4-BE49-F238E27FC236}">
              <a16:creationId xmlns:a16="http://schemas.microsoft.com/office/drawing/2014/main" id="{6359E997-EEE1-4CCC-ABC0-9809CBB65FCE}"/>
            </a:ext>
          </a:extLst>
        </xdr:cNvPr>
        <xdr:cNvSpPr>
          <a:spLocks noChangeShapeType="1"/>
        </xdr:cNvSpPr>
      </xdr:nvSpPr>
      <xdr:spPr bwMode="auto">
        <a:xfrm flipH="1" flipV="1">
          <a:off x="15973425" y="942975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F4D4-66A3-4405-BB82-DD9DA1A1EF76}">
  <dimension ref="A1:AR495"/>
  <sheetViews>
    <sheetView workbookViewId="0">
      <selection activeCell="AJ4" sqref="AJ4:AJ37"/>
    </sheetView>
  </sheetViews>
  <sheetFormatPr defaultColWidth="9" defaultRowHeight="15.75"/>
  <cols>
    <col min="1" max="1" width="6.75" style="29" customWidth="1"/>
    <col min="2" max="2" width="3.25" style="30" customWidth="1"/>
    <col min="3" max="3" width="8.25" style="31" customWidth="1"/>
    <col min="4" max="4" width="5.875" style="32" customWidth="1"/>
    <col min="5" max="5" width="6.75" style="29" customWidth="1"/>
    <col min="6" max="6" width="3.25" style="30" customWidth="1"/>
    <col min="7" max="7" width="8.25" style="31" customWidth="1"/>
    <col min="8" max="8" width="5.875" style="32" customWidth="1"/>
    <col min="9" max="9" width="6.75" style="29" customWidth="1"/>
    <col min="10" max="10" width="3.25" style="30" customWidth="1"/>
    <col min="11" max="11" width="8.25" style="31" customWidth="1"/>
    <col min="12" max="12" width="5.875" style="32" customWidth="1"/>
    <col min="13" max="13" width="6.75" style="29" customWidth="1"/>
    <col min="14" max="14" width="3.25" style="30" customWidth="1"/>
    <col min="15" max="15" width="8.25" style="31" customWidth="1"/>
    <col min="16" max="16" width="5.875" style="32" customWidth="1"/>
    <col min="17" max="17" width="6.75" style="29" customWidth="1"/>
    <col min="18" max="18" width="3.25" style="30" customWidth="1"/>
    <col min="19" max="19" width="8.25" style="31" customWidth="1"/>
    <col min="20" max="20" width="5.875" style="32" customWidth="1"/>
    <col min="21" max="21" width="6.75" style="29" customWidth="1"/>
    <col min="22" max="22" width="3.25" style="30" customWidth="1"/>
    <col min="23" max="23" width="8.25" style="31" customWidth="1"/>
    <col min="24" max="24" width="5.875" style="32" customWidth="1"/>
    <col min="25" max="25" width="6.75" style="29" customWidth="1"/>
    <col min="26" max="26" width="3.25" style="30" customWidth="1"/>
    <col min="27" max="27" width="8.25" style="31" customWidth="1"/>
    <col min="28" max="28" width="5.875" style="32" customWidth="1"/>
    <col min="29" max="29" width="8.5" style="17" bestFit="1" customWidth="1"/>
    <col min="30" max="30" width="4.5" style="17" bestFit="1" customWidth="1"/>
    <col min="31" max="31" width="9" style="17"/>
    <col min="32" max="32" width="5.25" style="17" bestFit="1" customWidth="1"/>
    <col min="33" max="33" width="9" style="17"/>
    <col min="34" max="34" width="4.5" style="17" bestFit="1" customWidth="1"/>
    <col min="35" max="35" width="9" style="17"/>
    <col min="36" max="36" width="5.25" style="17" bestFit="1" customWidth="1"/>
    <col min="37" max="16384" width="9" style="17"/>
  </cols>
  <sheetData>
    <row r="1" spans="1:44" s="4" customFormat="1" ht="41.25" customHeight="1">
      <c r="A1" s="1">
        <v>2024</v>
      </c>
      <c r="B1" s="1"/>
      <c r="C1" s="2" t="s">
        <v>0</v>
      </c>
      <c r="D1" s="3" t="s">
        <v>1</v>
      </c>
      <c r="E1" s="3"/>
      <c r="F1" s="2"/>
      <c r="G1" s="4" t="s">
        <v>287</v>
      </c>
      <c r="H1" s="5" t="s">
        <v>3</v>
      </c>
      <c r="I1" s="5"/>
      <c r="J1" s="5"/>
      <c r="K1" s="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6"/>
      <c r="AP1" s="6"/>
      <c r="AQ1" s="6"/>
      <c r="AR1" s="6"/>
    </row>
    <row r="2" spans="1:44" s="10" customFormat="1" ht="25.9" customHeight="1">
      <c r="A2" s="7" t="s">
        <v>4</v>
      </c>
      <c r="B2" s="7" t="s">
        <v>5</v>
      </c>
      <c r="C2" s="8" t="s">
        <v>6</v>
      </c>
      <c r="D2" s="8" t="s">
        <v>7</v>
      </c>
      <c r="E2" s="7" t="s">
        <v>4</v>
      </c>
      <c r="F2" s="7" t="s">
        <v>5</v>
      </c>
      <c r="G2" s="8" t="s">
        <v>8</v>
      </c>
      <c r="H2" s="8" t="s">
        <v>7</v>
      </c>
      <c r="I2" s="7" t="s">
        <v>4</v>
      </c>
      <c r="J2" s="7" t="s">
        <v>5</v>
      </c>
      <c r="K2" s="8" t="s">
        <v>9</v>
      </c>
      <c r="L2" s="8" t="s">
        <v>7</v>
      </c>
      <c r="M2" s="7" t="s">
        <v>4</v>
      </c>
      <c r="N2" s="7" t="s">
        <v>5</v>
      </c>
      <c r="O2" s="8" t="s">
        <v>10</v>
      </c>
      <c r="P2" s="8" t="s">
        <v>7</v>
      </c>
      <c r="Q2" s="7" t="s">
        <v>4</v>
      </c>
      <c r="R2" s="7" t="s">
        <v>5</v>
      </c>
      <c r="S2" s="8" t="s">
        <v>11</v>
      </c>
      <c r="T2" s="8" t="s">
        <v>7</v>
      </c>
      <c r="U2" s="7" t="s">
        <v>4</v>
      </c>
      <c r="V2" s="7" t="s">
        <v>5</v>
      </c>
      <c r="W2" s="8" t="s">
        <v>12</v>
      </c>
      <c r="X2" s="8" t="s">
        <v>7</v>
      </c>
      <c r="Y2" s="7" t="s">
        <v>4</v>
      </c>
      <c r="Z2" s="7" t="s">
        <v>5</v>
      </c>
      <c r="AA2" s="8" t="s">
        <v>13</v>
      </c>
      <c r="AB2" s="8" t="s">
        <v>7</v>
      </c>
      <c r="AC2" s="7" t="s">
        <v>4</v>
      </c>
      <c r="AD2" s="7" t="s">
        <v>5</v>
      </c>
      <c r="AE2" s="8" t="s">
        <v>14</v>
      </c>
      <c r="AF2" s="8" t="s">
        <v>7</v>
      </c>
      <c r="AG2" s="7" t="s">
        <v>4</v>
      </c>
      <c r="AH2" s="7" t="s">
        <v>5</v>
      </c>
      <c r="AI2" s="8" t="s">
        <v>15</v>
      </c>
      <c r="AJ2" s="8" t="s">
        <v>7</v>
      </c>
      <c r="AK2" s="8"/>
      <c r="AL2" s="8"/>
      <c r="AM2" s="8"/>
      <c r="AN2" s="9"/>
    </row>
    <row r="3" spans="1:44" ht="7.5" customHeight="1">
      <c r="A3" s="11"/>
      <c r="B3" s="12"/>
      <c r="C3" s="13"/>
      <c r="D3" s="14"/>
      <c r="E3" s="11"/>
      <c r="F3" s="12"/>
      <c r="G3" s="13"/>
      <c r="H3" s="14"/>
      <c r="I3" s="11"/>
      <c r="J3" s="12"/>
      <c r="K3" s="13"/>
      <c r="L3" s="14"/>
      <c r="M3" s="11"/>
      <c r="N3" s="12"/>
      <c r="O3" s="13"/>
      <c r="P3" s="14"/>
      <c r="Q3" s="11"/>
      <c r="R3" s="12"/>
      <c r="S3" s="13"/>
      <c r="T3" s="14"/>
      <c r="U3" s="11"/>
      <c r="V3" s="12"/>
      <c r="W3" s="13"/>
      <c r="X3" s="14"/>
      <c r="Y3" s="11"/>
      <c r="Z3" s="12"/>
      <c r="AA3" s="13"/>
      <c r="AB3" s="14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6"/>
    </row>
    <row r="4" spans="1:44" ht="19.899999999999999" customHeight="1">
      <c r="A4" s="18">
        <v>20210198</v>
      </c>
      <c r="B4" s="19">
        <v>1</v>
      </c>
      <c r="C4" s="19" t="s">
        <v>16</v>
      </c>
      <c r="D4" s="40">
        <v>41.5</v>
      </c>
      <c r="E4" s="18">
        <v>20190194</v>
      </c>
      <c r="F4" s="19">
        <v>1</v>
      </c>
      <c r="G4" s="19" t="s">
        <v>17</v>
      </c>
      <c r="H4" s="40">
        <v>91</v>
      </c>
      <c r="I4" s="18">
        <v>20230213</v>
      </c>
      <c r="J4" s="19">
        <v>1</v>
      </c>
      <c r="K4" s="19" t="s">
        <v>18</v>
      </c>
      <c r="L4" s="40">
        <v>74.5</v>
      </c>
      <c r="M4" s="18">
        <v>20190043</v>
      </c>
      <c r="N4" s="19">
        <v>1</v>
      </c>
      <c r="O4" s="19" t="s">
        <v>19</v>
      </c>
      <c r="P4" s="40">
        <v>34</v>
      </c>
      <c r="Q4" s="18">
        <v>20190080</v>
      </c>
      <c r="R4" s="19">
        <v>1</v>
      </c>
      <c r="S4" s="19" t="s">
        <v>20</v>
      </c>
      <c r="T4" s="40">
        <v>83.5</v>
      </c>
      <c r="U4" s="18">
        <v>20190231</v>
      </c>
      <c r="V4" s="19">
        <v>1</v>
      </c>
      <c r="W4" s="19" t="s">
        <v>21</v>
      </c>
      <c r="X4" s="40">
        <v>75.5</v>
      </c>
      <c r="Y4" s="18">
        <v>20190028</v>
      </c>
      <c r="Z4" s="19">
        <v>1</v>
      </c>
      <c r="AA4" s="19" t="s">
        <v>22</v>
      </c>
      <c r="AB4" s="40">
        <v>28.5</v>
      </c>
      <c r="AC4" s="13">
        <v>20220088</v>
      </c>
      <c r="AD4" s="13">
        <v>1</v>
      </c>
      <c r="AE4" s="13" t="s">
        <v>23</v>
      </c>
      <c r="AF4" s="40">
        <v>57</v>
      </c>
      <c r="AG4" s="13">
        <v>20190164</v>
      </c>
      <c r="AH4" s="13">
        <v>1</v>
      </c>
      <c r="AI4" s="13" t="s">
        <v>24</v>
      </c>
      <c r="AJ4" s="40">
        <v>32.5</v>
      </c>
      <c r="AK4" s="15"/>
      <c r="AL4" s="15"/>
      <c r="AM4" s="15"/>
      <c r="AN4" s="16"/>
    </row>
    <row r="5" spans="1:44" ht="19.899999999999999" customHeight="1">
      <c r="A5" s="18">
        <v>20230214</v>
      </c>
      <c r="B5" s="19">
        <v>2</v>
      </c>
      <c r="C5" s="19" t="s">
        <v>25</v>
      </c>
      <c r="D5" s="40">
        <v>51</v>
      </c>
      <c r="E5" s="18">
        <v>20200072</v>
      </c>
      <c r="F5" s="19">
        <v>2</v>
      </c>
      <c r="G5" s="19" t="s">
        <v>26</v>
      </c>
      <c r="H5" s="40">
        <v>64</v>
      </c>
      <c r="I5" s="18">
        <v>20190061</v>
      </c>
      <c r="J5" s="19">
        <v>2</v>
      </c>
      <c r="K5" s="19" t="s">
        <v>27</v>
      </c>
      <c r="L5" s="40">
        <v>74.5</v>
      </c>
      <c r="M5" s="18">
        <v>20220053</v>
      </c>
      <c r="N5" s="19">
        <v>2</v>
      </c>
      <c r="O5" s="19" t="s">
        <v>28</v>
      </c>
      <c r="P5" s="40">
        <v>58</v>
      </c>
      <c r="Q5" s="18">
        <v>20230348</v>
      </c>
      <c r="R5" s="19">
        <v>2</v>
      </c>
      <c r="S5" s="19" t="s">
        <v>29</v>
      </c>
      <c r="T5" s="40">
        <v>94</v>
      </c>
      <c r="U5" s="18">
        <v>20190004</v>
      </c>
      <c r="V5" s="19">
        <v>2</v>
      </c>
      <c r="W5" s="19" t="s">
        <v>30</v>
      </c>
      <c r="X5" s="40">
        <v>56.5</v>
      </c>
      <c r="Y5" s="18">
        <v>20122143</v>
      </c>
      <c r="Z5" s="19">
        <v>2</v>
      </c>
      <c r="AA5" s="19" t="s">
        <v>31</v>
      </c>
      <c r="AB5" s="40">
        <v>76.5</v>
      </c>
      <c r="AC5" s="13">
        <v>20190046</v>
      </c>
      <c r="AD5" s="13">
        <v>2</v>
      </c>
      <c r="AE5" s="13" t="s">
        <v>32</v>
      </c>
      <c r="AF5" s="40">
        <v>33</v>
      </c>
      <c r="AG5" s="13">
        <v>20230302</v>
      </c>
      <c r="AH5" s="13">
        <v>2</v>
      </c>
      <c r="AI5" s="13" t="s">
        <v>33</v>
      </c>
      <c r="AJ5" s="40">
        <v>74</v>
      </c>
      <c r="AK5" s="15"/>
      <c r="AL5" s="15"/>
      <c r="AM5" s="15"/>
      <c r="AN5" s="16"/>
    </row>
    <row r="6" spans="1:44" ht="19.899999999999999" customHeight="1">
      <c r="A6" s="18">
        <v>20190086</v>
      </c>
      <c r="B6" s="19">
        <v>3</v>
      </c>
      <c r="C6" s="19" t="s">
        <v>34</v>
      </c>
      <c r="D6" s="40">
        <v>63</v>
      </c>
      <c r="E6" s="18">
        <v>20102031</v>
      </c>
      <c r="F6" s="19">
        <v>3</v>
      </c>
      <c r="G6" s="19" t="s">
        <v>35</v>
      </c>
      <c r="H6" s="40">
        <v>35</v>
      </c>
      <c r="I6" s="18">
        <v>20097078</v>
      </c>
      <c r="J6" s="19">
        <v>3</v>
      </c>
      <c r="K6" s="19" t="s">
        <v>36</v>
      </c>
      <c r="L6" s="40">
        <v>59</v>
      </c>
      <c r="M6" s="18">
        <v>20220090</v>
      </c>
      <c r="N6" s="19">
        <v>3</v>
      </c>
      <c r="O6" s="19" t="s">
        <v>37</v>
      </c>
      <c r="P6" s="40">
        <v>75</v>
      </c>
      <c r="Q6" s="18">
        <v>20190190</v>
      </c>
      <c r="R6" s="19">
        <v>3</v>
      </c>
      <c r="S6" s="19" t="s">
        <v>38</v>
      </c>
      <c r="T6" s="40">
        <v>68</v>
      </c>
      <c r="U6" s="18">
        <v>20210122</v>
      </c>
      <c r="V6" s="19">
        <v>3</v>
      </c>
      <c r="W6" s="19" t="s">
        <v>39</v>
      </c>
      <c r="X6" s="40">
        <v>66</v>
      </c>
      <c r="Y6" s="18">
        <v>20133052</v>
      </c>
      <c r="Z6" s="19">
        <v>3</v>
      </c>
      <c r="AA6" s="19" t="s">
        <v>40</v>
      </c>
      <c r="AB6" s="40">
        <v>42</v>
      </c>
      <c r="AC6" s="13">
        <v>20220164</v>
      </c>
      <c r="AD6" s="13">
        <v>3</v>
      </c>
      <c r="AE6" s="13" t="s">
        <v>41</v>
      </c>
      <c r="AF6" s="40">
        <v>87.5</v>
      </c>
      <c r="AG6" s="13">
        <v>20143114</v>
      </c>
      <c r="AH6" s="13">
        <v>3</v>
      </c>
      <c r="AI6" s="13" t="s">
        <v>42</v>
      </c>
      <c r="AJ6" s="40">
        <v>87</v>
      </c>
      <c r="AK6" s="15"/>
      <c r="AL6" s="15"/>
      <c r="AM6" s="15"/>
      <c r="AN6" s="16"/>
    </row>
    <row r="7" spans="1:44" ht="19.899999999999999" customHeight="1">
      <c r="A7" s="18">
        <v>20230295</v>
      </c>
      <c r="B7" s="19">
        <v>4</v>
      </c>
      <c r="C7" s="19" t="s">
        <v>43</v>
      </c>
      <c r="D7" s="40">
        <v>88.5</v>
      </c>
      <c r="E7" s="18">
        <v>20180007</v>
      </c>
      <c r="F7" s="19">
        <v>4</v>
      </c>
      <c r="G7" s="19" t="s">
        <v>44</v>
      </c>
      <c r="H7" s="40">
        <v>40</v>
      </c>
      <c r="I7" s="18">
        <v>20200074</v>
      </c>
      <c r="J7" s="19">
        <v>4</v>
      </c>
      <c r="K7" s="19" t="s">
        <v>45</v>
      </c>
      <c r="L7" s="40">
        <v>88</v>
      </c>
      <c r="M7" s="18">
        <v>20190011</v>
      </c>
      <c r="N7" s="19">
        <v>4</v>
      </c>
      <c r="O7" s="19" t="s">
        <v>46</v>
      </c>
      <c r="P7" s="40">
        <v>29.5</v>
      </c>
      <c r="Q7" s="18">
        <v>20122139</v>
      </c>
      <c r="R7" s="19">
        <v>4</v>
      </c>
      <c r="S7" s="19" t="s">
        <v>47</v>
      </c>
      <c r="T7" s="40">
        <v>83.5</v>
      </c>
      <c r="U7" s="18">
        <v>20220101</v>
      </c>
      <c r="V7" s="19">
        <v>4</v>
      </c>
      <c r="W7" s="19" t="s">
        <v>48</v>
      </c>
      <c r="X7" s="40">
        <v>35</v>
      </c>
      <c r="Y7" s="18">
        <v>20102002</v>
      </c>
      <c r="Z7" s="19">
        <v>4</v>
      </c>
      <c r="AA7" s="19" t="s">
        <v>49</v>
      </c>
      <c r="AB7" s="40">
        <v>82.5</v>
      </c>
      <c r="AC7" s="13">
        <v>20180063</v>
      </c>
      <c r="AD7" s="13">
        <v>4</v>
      </c>
      <c r="AE7" s="13" t="s">
        <v>50</v>
      </c>
      <c r="AF7" s="40">
        <v>35.5</v>
      </c>
      <c r="AG7" s="13">
        <v>20190089</v>
      </c>
      <c r="AH7" s="13">
        <v>4</v>
      </c>
      <c r="AI7" s="13" t="s">
        <v>51</v>
      </c>
      <c r="AJ7" s="40">
        <v>63.5</v>
      </c>
      <c r="AK7" s="15"/>
      <c r="AL7" s="15"/>
      <c r="AM7" s="15"/>
      <c r="AN7" s="16"/>
    </row>
    <row r="8" spans="1:44" ht="19.899999999999999" customHeight="1">
      <c r="A8" s="18">
        <v>20220187</v>
      </c>
      <c r="B8" s="19">
        <v>5</v>
      </c>
      <c r="C8" s="19" t="s">
        <v>52</v>
      </c>
      <c r="D8" s="40">
        <v>72</v>
      </c>
      <c r="E8" s="18">
        <v>20102034</v>
      </c>
      <c r="F8" s="19">
        <v>5</v>
      </c>
      <c r="G8" s="19" t="s">
        <v>53</v>
      </c>
      <c r="H8" s="40">
        <v>64</v>
      </c>
      <c r="I8" s="18">
        <v>20200175</v>
      </c>
      <c r="J8" s="19">
        <v>5</v>
      </c>
      <c r="K8" s="19" t="s">
        <v>54</v>
      </c>
      <c r="L8" s="40">
        <v>64</v>
      </c>
      <c r="M8" s="18">
        <v>20230298</v>
      </c>
      <c r="N8" s="19">
        <v>5</v>
      </c>
      <c r="O8" s="19" t="s">
        <v>55</v>
      </c>
      <c r="P8" s="40">
        <v>74.5</v>
      </c>
      <c r="Q8" s="18">
        <v>20220175</v>
      </c>
      <c r="R8" s="19">
        <v>5</v>
      </c>
      <c r="S8" s="19" t="s">
        <v>56</v>
      </c>
      <c r="T8" s="40">
        <v>39</v>
      </c>
      <c r="U8" s="18">
        <v>20190012</v>
      </c>
      <c r="V8" s="19">
        <v>5</v>
      </c>
      <c r="W8" s="19" t="s">
        <v>57</v>
      </c>
      <c r="X8" s="40">
        <v>49</v>
      </c>
      <c r="Y8" s="18">
        <v>20190236</v>
      </c>
      <c r="Z8" s="19">
        <v>5</v>
      </c>
      <c r="AA8" s="19" t="s">
        <v>58</v>
      </c>
      <c r="AB8" s="40">
        <v>33.5</v>
      </c>
      <c r="AC8" s="13">
        <v>20220225</v>
      </c>
      <c r="AD8" s="13">
        <v>5</v>
      </c>
      <c r="AE8" s="13" t="s">
        <v>59</v>
      </c>
      <c r="AF8" s="40">
        <v>74</v>
      </c>
      <c r="AG8" s="13">
        <v>20190042</v>
      </c>
      <c r="AH8" s="13">
        <v>5</v>
      </c>
      <c r="AI8" s="13" t="s">
        <v>60</v>
      </c>
      <c r="AJ8" s="40">
        <v>76.5</v>
      </c>
      <c r="AK8" s="15"/>
      <c r="AL8" s="15"/>
      <c r="AM8" s="15"/>
      <c r="AN8" s="16"/>
    </row>
    <row r="9" spans="1:44" ht="19.899999999999999" customHeight="1">
      <c r="A9" s="18">
        <v>20133010</v>
      </c>
      <c r="B9" s="19">
        <v>6</v>
      </c>
      <c r="C9" s="19" t="s">
        <v>61</v>
      </c>
      <c r="D9" s="40">
        <v>56.5</v>
      </c>
      <c r="E9" s="18">
        <v>20153065</v>
      </c>
      <c r="F9" s="19">
        <v>6</v>
      </c>
      <c r="G9" s="19" t="s">
        <v>62</v>
      </c>
      <c r="H9" s="40">
        <v>87.5</v>
      </c>
      <c r="I9" s="18">
        <v>20220220</v>
      </c>
      <c r="J9" s="19">
        <v>6</v>
      </c>
      <c r="K9" s="19" t="s">
        <v>63</v>
      </c>
      <c r="L9" s="40">
        <v>70</v>
      </c>
      <c r="M9" s="18">
        <v>20153078</v>
      </c>
      <c r="N9" s="19">
        <v>6</v>
      </c>
      <c r="O9" s="19" t="s">
        <v>64</v>
      </c>
      <c r="P9" s="40">
        <v>37</v>
      </c>
      <c r="Q9" s="18">
        <v>20102035</v>
      </c>
      <c r="R9" s="19">
        <v>6</v>
      </c>
      <c r="S9" s="19" t="s">
        <v>65</v>
      </c>
      <c r="T9" s="40">
        <v>39</v>
      </c>
      <c r="U9" s="18">
        <v>20190063</v>
      </c>
      <c r="V9" s="19">
        <v>6</v>
      </c>
      <c r="W9" s="19" t="s">
        <v>66</v>
      </c>
      <c r="X9" s="40">
        <v>82</v>
      </c>
      <c r="Y9" s="18">
        <v>20163044</v>
      </c>
      <c r="Z9" s="19">
        <v>6</v>
      </c>
      <c r="AA9" s="19" t="s">
        <v>67</v>
      </c>
      <c r="AB9" s="40">
        <v>31.5</v>
      </c>
      <c r="AC9" s="13">
        <v>20220059</v>
      </c>
      <c r="AD9" s="13">
        <v>6</v>
      </c>
      <c r="AE9" s="13" t="s">
        <v>68</v>
      </c>
      <c r="AF9" s="40">
        <v>56</v>
      </c>
      <c r="AG9" s="13">
        <v>20220083</v>
      </c>
      <c r="AH9" s="13">
        <v>6</v>
      </c>
      <c r="AI9" s="13" t="s">
        <v>69</v>
      </c>
      <c r="AJ9" s="40">
        <v>68.5</v>
      </c>
      <c r="AK9" s="15"/>
      <c r="AL9" s="15"/>
      <c r="AM9" s="15"/>
      <c r="AN9" s="16"/>
    </row>
    <row r="10" spans="1:44" ht="19.899999999999999" customHeight="1">
      <c r="A10" s="18">
        <v>20220081</v>
      </c>
      <c r="B10" s="19">
        <v>7</v>
      </c>
      <c r="C10" s="19" t="s">
        <v>70</v>
      </c>
      <c r="D10" s="40">
        <v>72</v>
      </c>
      <c r="E10" s="18">
        <v>20220084</v>
      </c>
      <c r="F10" s="19">
        <v>7</v>
      </c>
      <c r="G10" s="19" t="s">
        <v>71</v>
      </c>
      <c r="H10" s="40">
        <v>65.5</v>
      </c>
      <c r="I10" s="18">
        <v>20210196</v>
      </c>
      <c r="J10" s="19">
        <v>7</v>
      </c>
      <c r="K10" s="19" t="s">
        <v>72</v>
      </c>
      <c r="L10" s="40">
        <v>43.5</v>
      </c>
      <c r="M10" s="18">
        <v>20190082</v>
      </c>
      <c r="N10" s="19">
        <v>7</v>
      </c>
      <c r="O10" s="19" t="s">
        <v>73</v>
      </c>
      <c r="P10" s="40">
        <v>58.5</v>
      </c>
      <c r="Q10" s="18">
        <v>20220082</v>
      </c>
      <c r="R10" s="19">
        <v>7</v>
      </c>
      <c r="S10" s="19" t="s">
        <v>74</v>
      </c>
      <c r="T10" s="40">
        <v>72.5</v>
      </c>
      <c r="U10" s="18">
        <v>20230310</v>
      </c>
      <c r="V10" s="19">
        <v>7</v>
      </c>
      <c r="W10" s="19" t="s">
        <v>75</v>
      </c>
      <c r="X10" s="40">
        <v>66.5</v>
      </c>
      <c r="Y10" s="18">
        <v>20190213</v>
      </c>
      <c r="Z10" s="19">
        <v>7</v>
      </c>
      <c r="AA10" s="19" t="s">
        <v>76</v>
      </c>
      <c r="AB10" s="40">
        <v>37</v>
      </c>
      <c r="AC10" s="13">
        <v>20143015</v>
      </c>
      <c r="AD10" s="13">
        <v>7</v>
      </c>
      <c r="AE10" s="13" t="s">
        <v>77</v>
      </c>
      <c r="AF10" s="40">
        <v>82.5</v>
      </c>
      <c r="AG10" s="13">
        <v>20072002</v>
      </c>
      <c r="AH10" s="13">
        <v>7</v>
      </c>
      <c r="AI10" s="13" t="s">
        <v>78</v>
      </c>
      <c r="AJ10" s="40">
        <v>35.5</v>
      </c>
      <c r="AK10" s="15"/>
      <c r="AL10" s="15"/>
      <c r="AM10" s="15"/>
      <c r="AN10" s="16"/>
    </row>
    <row r="11" spans="1:44" ht="19.899999999999999" customHeight="1">
      <c r="A11" s="18">
        <v>20190179</v>
      </c>
      <c r="B11" s="19">
        <v>8</v>
      </c>
      <c r="C11" s="19" t="s">
        <v>79</v>
      </c>
      <c r="D11" s="40">
        <v>81.5</v>
      </c>
      <c r="E11" s="18">
        <v>20210163</v>
      </c>
      <c r="F11" s="19">
        <v>8</v>
      </c>
      <c r="G11" s="19" t="s">
        <v>80</v>
      </c>
      <c r="H11" s="40">
        <v>67.5</v>
      </c>
      <c r="I11" s="18">
        <v>20102007</v>
      </c>
      <c r="J11" s="19">
        <v>8</v>
      </c>
      <c r="K11" s="19" t="s">
        <v>81</v>
      </c>
      <c r="L11" s="40">
        <v>48</v>
      </c>
      <c r="M11" s="18">
        <v>20220097</v>
      </c>
      <c r="N11" s="19">
        <v>8</v>
      </c>
      <c r="O11" s="19" t="s">
        <v>82</v>
      </c>
      <c r="P11" s="40">
        <v>77.5</v>
      </c>
      <c r="Q11" s="18">
        <v>20220091</v>
      </c>
      <c r="R11" s="19">
        <v>8</v>
      </c>
      <c r="S11" s="19" t="s">
        <v>83</v>
      </c>
      <c r="T11" s="40">
        <v>71</v>
      </c>
      <c r="U11" s="18">
        <v>20210184</v>
      </c>
      <c r="V11" s="19">
        <v>8</v>
      </c>
      <c r="W11" s="19" t="s">
        <v>84</v>
      </c>
      <c r="X11" s="40">
        <v>67.5</v>
      </c>
      <c r="Y11" s="18">
        <v>20220228</v>
      </c>
      <c r="Z11" s="19">
        <v>8</v>
      </c>
      <c r="AA11" s="19" t="s">
        <v>85</v>
      </c>
      <c r="AB11" s="40">
        <v>66</v>
      </c>
      <c r="AC11" s="13">
        <v>20220166</v>
      </c>
      <c r="AD11" s="13">
        <v>8</v>
      </c>
      <c r="AE11" s="13" t="s">
        <v>86</v>
      </c>
      <c r="AF11" s="40">
        <v>58</v>
      </c>
      <c r="AG11" s="13">
        <v>20190070</v>
      </c>
      <c r="AH11" s="13">
        <v>8</v>
      </c>
      <c r="AI11" s="13" t="s">
        <v>87</v>
      </c>
      <c r="AJ11" s="40">
        <v>47</v>
      </c>
      <c r="AK11" s="15"/>
      <c r="AL11" s="15"/>
      <c r="AM11" s="15"/>
      <c r="AN11" s="16"/>
    </row>
    <row r="12" spans="1:44" ht="19.899999999999999" customHeight="1">
      <c r="A12" s="18">
        <v>20190009</v>
      </c>
      <c r="B12" s="19">
        <v>9</v>
      </c>
      <c r="C12" s="19" t="s">
        <v>88</v>
      </c>
      <c r="D12" s="40">
        <v>63</v>
      </c>
      <c r="E12" s="18">
        <v>20190244</v>
      </c>
      <c r="F12" s="19">
        <v>9</v>
      </c>
      <c r="G12" s="19" t="s">
        <v>89</v>
      </c>
      <c r="H12" s="40">
        <v>66</v>
      </c>
      <c r="I12" s="18">
        <v>20220060</v>
      </c>
      <c r="J12" s="19">
        <v>9</v>
      </c>
      <c r="K12" s="19" t="s">
        <v>90</v>
      </c>
      <c r="L12" s="40">
        <v>84.5</v>
      </c>
      <c r="M12" s="18">
        <v>20220142</v>
      </c>
      <c r="N12" s="19">
        <v>9</v>
      </c>
      <c r="O12" s="19" t="s">
        <v>91</v>
      </c>
      <c r="P12" s="40">
        <v>66.5</v>
      </c>
      <c r="Q12" s="18">
        <v>20122133</v>
      </c>
      <c r="R12" s="19">
        <v>9</v>
      </c>
      <c r="S12" s="19" t="s">
        <v>92</v>
      </c>
      <c r="T12" s="40">
        <v>64</v>
      </c>
      <c r="U12" s="18">
        <v>20190163</v>
      </c>
      <c r="V12" s="19">
        <v>9</v>
      </c>
      <c r="W12" s="19" t="s">
        <v>93</v>
      </c>
      <c r="X12" s="40">
        <v>41</v>
      </c>
      <c r="Y12" s="18">
        <v>20173024</v>
      </c>
      <c r="Z12" s="19">
        <v>9</v>
      </c>
      <c r="AA12" s="19" t="s">
        <v>94</v>
      </c>
      <c r="AB12" s="40">
        <v>42</v>
      </c>
      <c r="AC12" s="13">
        <v>20210160</v>
      </c>
      <c r="AD12" s="13">
        <v>9</v>
      </c>
      <c r="AE12" s="13" t="s">
        <v>95</v>
      </c>
      <c r="AF12" s="40">
        <v>88</v>
      </c>
      <c r="AG12" s="13">
        <v>20190022</v>
      </c>
      <c r="AH12" s="13">
        <v>9</v>
      </c>
      <c r="AI12" s="13" t="s">
        <v>96</v>
      </c>
      <c r="AJ12" s="40">
        <v>63</v>
      </c>
      <c r="AK12" s="15"/>
      <c r="AL12" s="15"/>
      <c r="AM12" s="15"/>
      <c r="AN12" s="16"/>
    </row>
    <row r="13" spans="1:44" ht="19.899999999999999" customHeight="1">
      <c r="A13" s="18">
        <v>20153119</v>
      </c>
      <c r="B13" s="19">
        <v>10</v>
      </c>
      <c r="C13" s="19" t="s">
        <v>97</v>
      </c>
      <c r="D13" s="40">
        <v>41</v>
      </c>
      <c r="E13" s="18">
        <v>20220085</v>
      </c>
      <c r="F13" s="19">
        <v>10</v>
      </c>
      <c r="G13" s="19" t="s">
        <v>98</v>
      </c>
      <c r="H13" s="40">
        <v>60.5</v>
      </c>
      <c r="I13" s="18">
        <v>20163070</v>
      </c>
      <c r="J13" s="19">
        <v>10</v>
      </c>
      <c r="K13" s="19" t="s">
        <v>99</v>
      </c>
      <c r="L13" s="40">
        <v>93</v>
      </c>
      <c r="M13" s="18">
        <v>20220086</v>
      </c>
      <c r="N13" s="19">
        <v>10</v>
      </c>
      <c r="O13" s="19" t="s">
        <v>100</v>
      </c>
      <c r="P13" s="40">
        <v>82</v>
      </c>
      <c r="Q13" s="18">
        <v>20230301</v>
      </c>
      <c r="R13" s="19">
        <v>10</v>
      </c>
      <c r="S13" s="19" t="s">
        <v>101</v>
      </c>
      <c r="T13" s="40">
        <v>55</v>
      </c>
      <c r="U13" s="18">
        <v>20190159</v>
      </c>
      <c r="V13" s="19">
        <v>10</v>
      </c>
      <c r="W13" s="19" t="s">
        <v>102</v>
      </c>
      <c r="X13" s="40">
        <v>72.5</v>
      </c>
      <c r="Y13" s="18">
        <v>20102063</v>
      </c>
      <c r="Z13" s="19">
        <v>10</v>
      </c>
      <c r="AA13" s="19" t="s">
        <v>103</v>
      </c>
      <c r="AB13" s="40">
        <v>51</v>
      </c>
      <c r="AC13" s="13">
        <v>20163052</v>
      </c>
      <c r="AD13" s="13">
        <v>10</v>
      </c>
      <c r="AE13" s="13" t="s">
        <v>104</v>
      </c>
      <c r="AF13" s="40">
        <v>77.5</v>
      </c>
      <c r="AG13" s="13">
        <v>20190192</v>
      </c>
      <c r="AH13" s="13">
        <v>10</v>
      </c>
      <c r="AI13" s="13" t="s">
        <v>105</v>
      </c>
      <c r="AJ13" s="40">
        <v>46.5</v>
      </c>
      <c r="AK13" s="15"/>
      <c r="AL13" s="15"/>
      <c r="AM13" s="15"/>
      <c r="AN13" s="16"/>
    </row>
    <row r="14" spans="1:44" ht="19.899999999999999" customHeight="1">
      <c r="A14" s="18">
        <v>20220219</v>
      </c>
      <c r="B14" s="19">
        <v>11</v>
      </c>
      <c r="C14" s="19" t="s">
        <v>106</v>
      </c>
      <c r="D14" s="40">
        <v>74.5</v>
      </c>
      <c r="E14" s="18">
        <v>20173030</v>
      </c>
      <c r="F14" s="19">
        <v>11</v>
      </c>
      <c r="G14" s="19" t="s">
        <v>107</v>
      </c>
      <c r="H14" s="40">
        <v>62.5</v>
      </c>
      <c r="I14" s="18">
        <v>20153045</v>
      </c>
      <c r="J14" s="19">
        <v>11</v>
      </c>
      <c r="K14" s="19" t="s">
        <v>108</v>
      </c>
      <c r="L14" s="40">
        <v>88.5</v>
      </c>
      <c r="M14" s="18">
        <v>20200095</v>
      </c>
      <c r="N14" s="19">
        <v>11</v>
      </c>
      <c r="O14" s="19" t="s">
        <v>109</v>
      </c>
      <c r="P14" s="40">
        <v>62</v>
      </c>
      <c r="Q14" s="18">
        <v>20220223</v>
      </c>
      <c r="R14" s="19">
        <v>11</v>
      </c>
      <c r="S14" s="19" t="s">
        <v>110</v>
      </c>
      <c r="T14" s="40">
        <v>71.5</v>
      </c>
      <c r="U14" s="18">
        <v>20153106</v>
      </c>
      <c r="V14" s="19">
        <v>11</v>
      </c>
      <c r="W14" s="19" t="s">
        <v>111</v>
      </c>
      <c r="X14" s="40">
        <v>66.5</v>
      </c>
      <c r="Y14" s="18">
        <v>20102009</v>
      </c>
      <c r="Z14" s="19">
        <v>11</v>
      </c>
      <c r="AA14" s="19" t="s">
        <v>112</v>
      </c>
      <c r="AB14" s="40">
        <v>60.5</v>
      </c>
      <c r="AC14" s="13">
        <v>20210119</v>
      </c>
      <c r="AD14" s="13">
        <v>11</v>
      </c>
      <c r="AE14" s="13" t="s">
        <v>113</v>
      </c>
      <c r="AF14" s="40">
        <v>72.5</v>
      </c>
      <c r="AG14" s="13">
        <v>20190225</v>
      </c>
      <c r="AH14" s="13">
        <v>11</v>
      </c>
      <c r="AI14" s="13" t="s">
        <v>114</v>
      </c>
      <c r="AJ14" s="40">
        <v>67</v>
      </c>
      <c r="AK14" s="15"/>
      <c r="AL14" s="15"/>
      <c r="AM14" s="15"/>
      <c r="AN14" s="16"/>
    </row>
    <row r="15" spans="1:44" ht="19.899999999999999" customHeight="1">
      <c r="A15" s="18">
        <v>20190044</v>
      </c>
      <c r="B15" s="19">
        <v>12</v>
      </c>
      <c r="C15" s="19" t="s">
        <v>115</v>
      </c>
      <c r="D15" s="40">
        <v>38</v>
      </c>
      <c r="E15" s="18">
        <v>20220066</v>
      </c>
      <c r="F15" s="19">
        <v>12</v>
      </c>
      <c r="G15" s="19" t="s">
        <v>116</v>
      </c>
      <c r="H15" s="40">
        <v>60</v>
      </c>
      <c r="I15" s="18">
        <v>20190111</v>
      </c>
      <c r="J15" s="19">
        <v>12</v>
      </c>
      <c r="K15" s="19" t="s">
        <v>117</v>
      </c>
      <c r="L15" s="40">
        <v>83.5</v>
      </c>
      <c r="M15" s="18">
        <v>20133015</v>
      </c>
      <c r="N15" s="19">
        <v>12</v>
      </c>
      <c r="O15" s="19" t="s">
        <v>118</v>
      </c>
      <c r="P15" s="40">
        <v>78.5</v>
      </c>
      <c r="Q15" s="18">
        <v>20163053</v>
      </c>
      <c r="R15" s="19">
        <v>12</v>
      </c>
      <c r="S15" s="19" t="s">
        <v>119</v>
      </c>
      <c r="T15" s="40">
        <v>63</v>
      </c>
      <c r="U15" s="18">
        <v>20220069</v>
      </c>
      <c r="V15" s="19">
        <v>12</v>
      </c>
      <c r="W15" s="19" t="s">
        <v>120</v>
      </c>
      <c r="X15" s="40">
        <v>54.5</v>
      </c>
      <c r="Y15" s="18">
        <v>20230315</v>
      </c>
      <c r="Z15" s="19">
        <v>12</v>
      </c>
      <c r="AA15" s="19" t="s">
        <v>121</v>
      </c>
      <c r="AB15" s="40">
        <v>22.5</v>
      </c>
      <c r="AC15" s="13">
        <v>20180080</v>
      </c>
      <c r="AD15" s="13">
        <v>12</v>
      </c>
      <c r="AE15" s="13" t="s">
        <v>122</v>
      </c>
      <c r="AF15" s="40">
        <v>41</v>
      </c>
      <c r="AG15" s="13">
        <v>20230294</v>
      </c>
      <c r="AH15" s="13">
        <v>12</v>
      </c>
      <c r="AI15" s="13" t="s">
        <v>123</v>
      </c>
      <c r="AJ15" s="40">
        <v>26</v>
      </c>
      <c r="AK15" s="15"/>
      <c r="AL15" s="15"/>
      <c r="AM15" s="15"/>
      <c r="AN15" s="16"/>
    </row>
    <row r="16" spans="1:44" ht="19.899999999999999" customHeight="1">
      <c r="A16" s="18">
        <v>20230347</v>
      </c>
      <c r="B16" s="19">
        <v>13</v>
      </c>
      <c r="C16" s="19" t="s">
        <v>124</v>
      </c>
      <c r="D16" s="40">
        <v>78</v>
      </c>
      <c r="E16" s="18">
        <v>20220188</v>
      </c>
      <c r="F16" s="19">
        <v>13</v>
      </c>
      <c r="G16" s="19" t="s">
        <v>125</v>
      </c>
      <c r="H16" s="40">
        <v>93.5</v>
      </c>
      <c r="I16" s="18">
        <v>20163039</v>
      </c>
      <c r="J16" s="19">
        <v>13</v>
      </c>
      <c r="K16" s="19" t="s">
        <v>126</v>
      </c>
      <c r="L16" s="40">
        <v>53.5</v>
      </c>
      <c r="M16" s="18">
        <v>20220185</v>
      </c>
      <c r="N16" s="19">
        <v>13</v>
      </c>
      <c r="O16" s="19" t="s">
        <v>127</v>
      </c>
      <c r="P16" s="40">
        <v>72.5</v>
      </c>
      <c r="Q16" s="18">
        <v>20102067</v>
      </c>
      <c r="R16" s="19">
        <v>13</v>
      </c>
      <c r="S16" s="19" t="s">
        <v>128</v>
      </c>
      <c r="T16" s="40">
        <v>53.5</v>
      </c>
      <c r="U16" s="18">
        <v>20190097</v>
      </c>
      <c r="V16" s="19">
        <v>13</v>
      </c>
      <c r="W16" s="19" t="s">
        <v>129</v>
      </c>
      <c r="X16" s="40">
        <v>40</v>
      </c>
      <c r="Y16" s="18">
        <v>20190187</v>
      </c>
      <c r="Z16" s="19">
        <v>13</v>
      </c>
      <c r="AA16" s="19" t="s">
        <v>130</v>
      </c>
      <c r="AB16" s="40">
        <v>53</v>
      </c>
      <c r="AC16" s="13">
        <v>20173036</v>
      </c>
      <c r="AD16" s="13">
        <v>13</v>
      </c>
      <c r="AE16" s="13" t="s">
        <v>131</v>
      </c>
      <c r="AF16" s="40">
        <v>73</v>
      </c>
      <c r="AG16" s="13">
        <v>20163042</v>
      </c>
      <c r="AH16" s="13">
        <v>13</v>
      </c>
      <c r="AI16" s="13" t="s">
        <v>132</v>
      </c>
      <c r="AJ16" s="40">
        <v>73.5</v>
      </c>
      <c r="AK16" s="15"/>
      <c r="AL16" s="15"/>
      <c r="AM16" s="15"/>
      <c r="AN16" s="16"/>
    </row>
    <row r="17" spans="1:40" ht="19.899999999999999" customHeight="1">
      <c r="A17" s="18">
        <v>20163038</v>
      </c>
      <c r="B17" s="19">
        <v>14</v>
      </c>
      <c r="C17" s="19" t="s">
        <v>133</v>
      </c>
      <c r="D17" s="40">
        <v>90</v>
      </c>
      <c r="E17" s="18">
        <v>20230217</v>
      </c>
      <c r="F17" s="19">
        <v>14</v>
      </c>
      <c r="G17" s="19" t="s">
        <v>134</v>
      </c>
      <c r="H17" s="40">
        <v>56</v>
      </c>
      <c r="I17" s="18">
        <v>20143016</v>
      </c>
      <c r="J17" s="19">
        <v>14</v>
      </c>
      <c r="K17" s="19" t="s">
        <v>135</v>
      </c>
      <c r="L17" s="40">
        <v>62.5</v>
      </c>
      <c r="M17" s="18">
        <v>20220094</v>
      </c>
      <c r="N17" s="19">
        <v>14</v>
      </c>
      <c r="O17" s="19" t="s">
        <v>136</v>
      </c>
      <c r="P17" s="40">
        <v>21.5</v>
      </c>
      <c r="Q17" s="18">
        <v>20102012</v>
      </c>
      <c r="R17" s="19">
        <v>14</v>
      </c>
      <c r="S17" s="19" t="s">
        <v>137</v>
      </c>
      <c r="T17" s="40">
        <v>82.5</v>
      </c>
      <c r="U17" s="18">
        <v>20163083</v>
      </c>
      <c r="V17" s="19">
        <v>14</v>
      </c>
      <c r="W17" s="19" t="s">
        <v>138</v>
      </c>
      <c r="X17" s="40">
        <v>42</v>
      </c>
      <c r="Y17" s="18">
        <v>20220065</v>
      </c>
      <c r="Z17" s="19">
        <v>14</v>
      </c>
      <c r="AA17" s="19" t="s">
        <v>139</v>
      </c>
      <c r="AB17" s="40">
        <v>53.5</v>
      </c>
      <c r="AC17" s="13">
        <v>20133018</v>
      </c>
      <c r="AD17" s="13">
        <v>14</v>
      </c>
      <c r="AE17" s="13" t="s">
        <v>140</v>
      </c>
      <c r="AF17" s="40">
        <v>64.5</v>
      </c>
      <c r="AG17" s="13">
        <v>20200190</v>
      </c>
      <c r="AH17" s="13">
        <v>14</v>
      </c>
      <c r="AI17" s="13" t="s">
        <v>141</v>
      </c>
      <c r="AJ17" s="40">
        <v>80</v>
      </c>
      <c r="AK17" s="15"/>
      <c r="AL17" s="15"/>
      <c r="AM17" s="15"/>
      <c r="AN17" s="16"/>
    </row>
    <row r="18" spans="1:40" ht="19.899999999999999" customHeight="1">
      <c r="A18" s="18">
        <v>20220144</v>
      </c>
      <c r="B18" s="19">
        <v>15</v>
      </c>
      <c r="C18" s="19" t="s">
        <v>142</v>
      </c>
      <c r="D18" s="40">
        <v>84.5</v>
      </c>
      <c r="E18" s="18">
        <v>20122155</v>
      </c>
      <c r="F18" s="19">
        <v>15</v>
      </c>
      <c r="G18" s="19" t="s">
        <v>143</v>
      </c>
      <c r="H18" s="40">
        <v>47</v>
      </c>
      <c r="I18" s="18">
        <v>20112106</v>
      </c>
      <c r="J18" s="19">
        <v>15</v>
      </c>
      <c r="K18" s="19" t="s">
        <v>144</v>
      </c>
      <c r="L18" s="40">
        <v>50</v>
      </c>
      <c r="M18" s="18">
        <v>20200096</v>
      </c>
      <c r="N18" s="19">
        <v>15</v>
      </c>
      <c r="O18" s="19" t="s">
        <v>145</v>
      </c>
      <c r="P18" s="40">
        <v>62</v>
      </c>
      <c r="Q18" s="18">
        <v>20143073</v>
      </c>
      <c r="R18" s="19">
        <v>15</v>
      </c>
      <c r="S18" s="19" t="s">
        <v>146</v>
      </c>
      <c r="T18" s="40">
        <v>75</v>
      </c>
      <c r="U18" s="18">
        <v>20220079</v>
      </c>
      <c r="V18" s="19">
        <v>15</v>
      </c>
      <c r="W18" s="19" t="s">
        <v>147</v>
      </c>
      <c r="X18" s="40">
        <v>63.5</v>
      </c>
      <c r="Y18" s="18">
        <v>20180127</v>
      </c>
      <c r="Z18" s="19">
        <v>15</v>
      </c>
      <c r="AA18" s="19" t="s">
        <v>148</v>
      </c>
      <c r="AB18" s="40">
        <v>11</v>
      </c>
      <c r="AC18" s="13">
        <v>20220172</v>
      </c>
      <c r="AD18" s="13">
        <v>15</v>
      </c>
      <c r="AE18" s="13" t="s">
        <v>149</v>
      </c>
      <c r="AF18" s="40">
        <v>56.5</v>
      </c>
      <c r="AG18" s="13">
        <v>20153092</v>
      </c>
      <c r="AH18" s="13">
        <v>15</v>
      </c>
      <c r="AI18" s="13" t="s">
        <v>150</v>
      </c>
      <c r="AJ18" s="40">
        <v>58.5</v>
      </c>
      <c r="AK18" s="15"/>
      <c r="AL18" s="15"/>
      <c r="AM18" s="15"/>
      <c r="AN18" s="16"/>
    </row>
    <row r="19" spans="1:40" ht="19.899999999999999" customHeight="1">
      <c r="A19" s="18">
        <v>20210197</v>
      </c>
      <c r="B19" s="19">
        <v>16</v>
      </c>
      <c r="C19" s="19" t="s">
        <v>151</v>
      </c>
      <c r="D19" s="40">
        <v>67</v>
      </c>
      <c r="E19" s="18">
        <v>20183037</v>
      </c>
      <c r="F19" s="19">
        <v>16</v>
      </c>
      <c r="G19" s="19" t="s">
        <v>152</v>
      </c>
      <c r="H19" s="40">
        <v>90</v>
      </c>
      <c r="I19" s="18">
        <v>20200159</v>
      </c>
      <c r="J19" s="19">
        <v>16</v>
      </c>
      <c r="K19" s="19" t="s">
        <v>153</v>
      </c>
      <c r="L19" s="40">
        <v>44.5</v>
      </c>
      <c r="M19" s="18">
        <v>20210120</v>
      </c>
      <c r="N19" s="19">
        <v>16</v>
      </c>
      <c r="O19" s="19" t="s">
        <v>154</v>
      </c>
      <c r="P19" s="40">
        <v>63.5</v>
      </c>
      <c r="Q19" s="18">
        <v>20190103</v>
      </c>
      <c r="R19" s="19">
        <v>16</v>
      </c>
      <c r="S19" s="19" t="s">
        <v>155</v>
      </c>
      <c r="T19" s="40">
        <v>47.5</v>
      </c>
      <c r="U19" s="18">
        <v>20190006</v>
      </c>
      <c r="V19" s="19">
        <v>16</v>
      </c>
      <c r="W19" s="19" t="s">
        <v>156</v>
      </c>
      <c r="X19" s="40">
        <v>16.5</v>
      </c>
      <c r="Y19" s="18">
        <v>20102041</v>
      </c>
      <c r="Z19" s="19">
        <v>16</v>
      </c>
      <c r="AA19" s="19" t="s">
        <v>157</v>
      </c>
      <c r="AB19" s="40">
        <v>51</v>
      </c>
      <c r="AC19" s="13">
        <v>20190040</v>
      </c>
      <c r="AD19" s="13">
        <v>16</v>
      </c>
      <c r="AE19" s="13" t="s">
        <v>158</v>
      </c>
      <c r="AF19" s="40">
        <v>42</v>
      </c>
      <c r="AG19" s="13">
        <v>20122156</v>
      </c>
      <c r="AH19" s="13">
        <v>16</v>
      </c>
      <c r="AI19" s="13" t="s">
        <v>159</v>
      </c>
      <c r="AJ19" s="40">
        <v>62</v>
      </c>
      <c r="AK19" s="15"/>
      <c r="AL19" s="15"/>
      <c r="AM19" s="15"/>
      <c r="AN19" s="16"/>
    </row>
    <row r="20" spans="1:40" ht="19.899999999999999" customHeight="1">
      <c r="A20" s="18">
        <v>20102036</v>
      </c>
      <c r="B20" s="19">
        <v>17</v>
      </c>
      <c r="C20" s="19" t="s">
        <v>160</v>
      </c>
      <c r="D20" s="40">
        <v>91.5</v>
      </c>
      <c r="E20" s="18">
        <v>20230296</v>
      </c>
      <c r="F20" s="19">
        <v>17</v>
      </c>
      <c r="G20" s="19" t="s">
        <v>161</v>
      </c>
      <c r="H20" s="40">
        <v>53</v>
      </c>
      <c r="I20" s="18">
        <v>20220186</v>
      </c>
      <c r="J20" s="19">
        <v>17</v>
      </c>
      <c r="K20" s="19" t="s">
        <v>162</v>
      </c>
      <c r="L20" s="40">
        <v>76</v>
      </c>
      <c r="M20" s="18">
        <v>20190178</v>
      </c>
      <c r="N20" s="19">
        <v>17</v>
      </c>
      <c r="O20" s="19" t="s">
        <v>163</v>
      </c>
      <c r="P20" s="40">
        <v>80</v>
      </c>
      <c r="Q20" s="18">
        <v>20190210</v>
      </c>
      <c r="R20" s="19">
        <v>17</v>
      </c>
      <c r="S20" s="19" t="s">
        <v>164</v>
      </c>
      <c r="T20" s="40">
        <v>92</v>
      </c>
      <c r="U20" s="18">
        <v>20163058</v>
      </c>
      <c r="V20" s="19">
        <v>17</v>
      </c>
      <c r="W20" s="19" t="s">
        <v>165</v>
      </c>
      <c r="X20" s="40">
        <v>34.5</v>
      </c>
      <c r="Y20" s="18">
        <v>20133029</v>
      </c>
      <c r="Z20" s="19">
        <v>17</v>
      </c>
      <c r="AA20" s="19" t="s">
        <v>166</v>
      </c>
      <c r="AB20" s="40">
        <v>56.5</v>
      </c>
      <c r="AC20" s="13">
        <v>20102038</v>
      </c>
      <c r="AD20" s="13">
        <v>17</v>
      </c>
      <c r="AE20" s="13" t="s">
        <v>167</v>
      </c>
      <c r="AF20" s="40">
        <v>64</v>
      </c>
      <c r="AG20" s="13">
        <v>20190032</v>
      </c>
      <c r="AH20" s="13">
        <v>17</v>
      </c>
      <c r="AI20" s="13" t="s">
        <v>168</v>
      </c>
      <c r="AJ20" s="40">
        <v>63</v>
      </c>
      <c r="AK20" s="15"/>
      <c r="AL20" s="15"/>
      <c r="AM20" s="15"/>
      <c r="AN20" s="16"/>
    </row>
    <row r="21" spans="1:40" ht="19.899999999999999" customHeight="1">
      <c r="A21" s="18">
        <v>20153044</v>
      </c>
      <c r="B21" s="19">
        <v>18</v>
      </c>
      <c r="C21" s="19" t="s">
        <v>169</v>
      </c>
      <c r="D21" s="40">
        <v>95</v>
      </c>
      <c r="E21" s="18">
        <v>20102019</v>
      </c>
      <c r="F21" s="19">
        <v>18</v>
      </c>
      <c r="G21" s="19" t="s">
        <v>170</v>
      </c>
      <c r="H21" s="40">
        <v>51.5</v>
      </c>
      <c r="I21" s="18">
        <v>20220068</v>
      </c>
      <c r="J21" s="19">
        <v>18</v>
      </c>
      <c r="K21" s="19" t="s">
        <v>171</v>
      </c>
      <c r="L21" s="40">
        <v>84</v>
      </c>
      <c r="M21" s="18">
        <v>20220063</v>
      </c>
      <c r="N21" s="19">
        <v>18</v>
      </c>
      <c r="O21" s="19" t="s">
        <v>172</v>
      </c>
      <c r="P21" s="40">
        <v>63.5</v>
      </c>
      <c r="Q21" s="18">
        <v>20230212</v>
      </c>
      <c r="R21" s="19">
        <v>18</v>
      </c>
      <c r="S21" s="19" t="s">
        <v>173</v>
      </c>
      <c r="T21" s="40">
        <v>71.5</v>
      </c>
      <c r="U21" s="18">
        <v>20102046</v>
      </c>
      <c r="V21" s="19">
        <v>18</v>
      </c>
      <c r="W21" s="19" t="s">
        <v>174</v>
      </c>
      <c r="X21" s="40">
        <v>90</v>
      </c>
      <c r="Y21" s="18">
        <v>20220170</v>
      </c>
      <c r="Z21" s="19">
        <v>18</v>
      </c>
      <c r="AA21" s="19" t="s">
        <v>175</v>
      </c>
      <c r="AB21" s="40">
        <v>40</v>
      </c>
      <c r="AC21" s="13">
        <v>20163041</v>
      </c>
      <c r="AD21" s="13">
        <v>18</v>
      </c>
      <c r="AE21" s="13" t="s">
        <v>176</v>
      </c>
      <c r="AF21" s="40">
        <v>48</v>
      </c>
      <c r="AG21" s="13">
        <v>20102064</v>
      </c>
      <c r="AH21" s="13">
        <v>18</v>
      </c>
      <c r="AI21" s="13" t="s">
        <v>177</v>
      </c>
      <c r="AJ21" s="40">
        <v>82.5</v>
      </c>
      <c r="AK21" s="15"/>
      <c r="AL21" s="15"/>
      <c r="AM21" s="15"/>
      <c r="AN21" s="16"/>
    </row>
    <row r="22" spans="1:40" ht="19.899999999999999" customHeight="1">
      <c r="A22" s="18">
        <v>20102011</v>
      </c>
      <c r="B22" s="19">
        <v>19</v>
      </c>
      <c r="C22" s="19" t="s">
        <v>178</v>
      </c>
      <c r="D22" s="40">
        <v>56</v>
      </c>
      <c r="E22" s="18">
        <v>20190074</v>
      </c>
      <c r="F22" s="19">
        <v>19</v>
      </c>
      <c r="G22" s="19" t="s">
        <v>179</v>
      </c>
      <c r="H22" s="40">
        <v>66</v>
      </c>
      <c r="I22" s="18">
        <v>20220168</v>
      </c>
      <c r="J22" s="19">
        <v>19</v>
      </c>
      <c r="K22" s="19" t="s">
        <v>180</v>
      </c>
      <c r="L22" s="40">
        <v>26</v>
      </c>
      <c r="M22" s="18">
        <v>20122135</v>
      </c>
      <c r="N22" s="19">
        <v>19</v>
      </c>
      <c r="O22" s="19" t="s">
        <v>181</v>
      </c>
      <c r="P22" s="40">
        <v>69</v>
      </c>
      <c r="Q22" s="18">
        <v>20180120</v>
      </c>
      <c r="R22" s="19">
        <v>19</v>
      </c>
      <c r="S22" s="19" t="s">
        <v>182</v>
      </c>
      <c r="T22" s="40">
        <v>21.5</v>
      </c>
      <c r="U22" s="18">
        <v>20190104</v>
      </c>
      <c r="V22" s="19">
        <v>19</v>
      </c>
      <c r="W22" s="19" t="s">
        <v>183</v>
      </c>
      <c r="X22" s="40">
        <v>43</v>
      </c>
      <c r="Y22" s="18">
        <v>20190030</v>
      </c>
      <c r="Z22" s="19">
        <v>19</v>
      </c>
      <c r="AA22" s="19" t="s">
        <v>184</v>
      </c>
      <c r="AB22" s="40">
        <v>58</v>
      </c>
      <c r="AC22" s="13">
        <v>20102040</v>
      </c>
      <c r="AD22" s="13">
        <v>19</v>
      </c>
      <c r="AE22" s="13" t="s">
        <v>185</v>
      </c>
      <c r="AF22" s="40">
        <v>89.5</v>
      </c>
      <c r="AG22" s="13">
        <v>20133014</v>
      </c>
      <c r="AH22" s="13">
        <v>19</v>
      </c>
      <c r="AI22" s="13" t="s">
        <v>186</v>
      </c>
      <c r="AJ22" s="40">
        <v>52</v>
      </c>
      <c r="AK22" s="15"/>
      <c r="AL22" s="15"/>
      <c r="AM22" s="15"/>
      <c r="AN22" s="16"/>
    </row>
    <row r="23" spans="1:40" ht="19.899999999999999" customHeight="1">
      <c r="A23" s="18">
        <v>20102066</v>
      </c>
      <c r="B23" s="19">
        <v>20</v>
      </c>
      <c r="C23" s="19" t="s">
        <v>187</v>
      </c>
      <c r="D23" s="40">
        <v>88</v>
      </c>
      <c r="E23" s="18">
        <v>20122144</v>
      </c>
      <c r="F23" s="19">
        <v>20</v>
      </c>
      <c r="G23" s="19" t="s">
        <v>188</v>
      </c>
      <c r="H23" s="40">
        <v>33</v>
      </c>
      <c r="I23" s="18">
        <v>20190013</v>
      </c>
      <c r="J23" s="19">
        <v>20</v>
      </c>
      <c r="K23" s="19" t="s">
        <v>189</v>
      </c>
      <c r="L23" s="40">
        <v>47.5</v>
      </c>
      <c r="M23" s="18">
        <v>20190078</v>
      </c>
      <c r="N23" s="19">
        <v>20</v>
      </c>
      <c r="O23" s="19" t="s">
        <v>190</v>
      </c>
      <c r="P23" s="40">
        <v>71</v>
      </c>
      <c r="Q23" s="18">
        <v>20220100</v>
      </c>
      <c r="R23" s="19">
        <v>20</v>
      </c>
      <c r="S23" s="19" t="s">
        <v>191</v>
      </c>
      <c r="T23" s="40">
        <v>58.5</v>
      </c>
      <c r="U23" s="18">
        <v>20200169</v>
      </c>
      <c r="V23" s="19">
        <v>20</v>
      </c>
      <c r="W23" s="19" t="s">
        <v>192</v>
      </c>
      <c r="X23" s="40">
        <v>56.5</v>
      </c>
      <c r="Y23" s="18">
        <v>20143105</v>
      </c>
      <c r="Z23" s="19">
        <v>20</v>
      </c>
      <c r="AA23" s="19" t="s">
        <v>193</v>
      </c>
      <c r="AB23" s="40">
        <v>61.5</v>
      </c>
      <c r="AC23" s="13">
        <v>20123047</v>
      </c>
      <c r="AD23" s="13">
        <v>20</v>
      </c>
      <c r="AE23" s="13" t="s">
        <v>194</v>
      </c>
      <c r="AF23" s="40">
        <v>39</v>
      </c>
      <c r="AG23" s="13">
        <v>20190007</v>
      </c>
      <c r="AH23" s="13">
        <v>20</v>
      </c>
      <c r="AI23" s="13" t="s">
        <v>195</v>
      </c>
      <c r="AJ23" s="40">
        <v>59.5</v>
      </c>
      <c r="AK23" s="15"/>
      <c r="AL23" s="15"/>
      <c r="AM23" s="15"/>
      <c r="AN23" s="16"/>
    </row>
    <row r="24" spans="1:40" ht="19.899999999999999" customHeight="1">
      <c r="A24" s="18">
        <v>20220169</v>
      </c>
      <c r="B24" s="19">
        <v>21</v>
      </c>
      <c r="C24" s="19" t="s">
        <v>196</v>
      </c>
      <c r="D24" s="40">
        <v>69</v>
      </c>
      <c r="E24" s="18">
        <v>20190095</v>
      </c>
      <c r="F24" s="19">
        <v>21</v>
      </c>
      <c r="G24" s="19" t="s">
        <v>197</v>
      </c>
      <c r="H24" s="40">
        <v>93</v>
      </c>
      <c r="I24" s="18">
        <v>20102047</v>
      </c>
      <c r="J24" s="19">
        <v>21</v>
      </c>
      <c r="K24" s="19" t="s">
        <v>198</v>
      </c>
      <c r="L24" s="40">
        <v>37</v>
      </c>
      <c r="M24" s="18">
        <v>20220071</v>
      </c>
      <c r="N24" s="19">
        <v>21</v>
      </c>
      <c r="O24" s="19" t="s">
        <v>199</v>
      </c>
      <c r="P24" s="40">
        <v>89</v>
      </c>
      <c r="Q24" s="18">
        <v>20190073</v>
      </c>
      <c r="R24" s="19">
        <v>21</v>
      </c>
      <c r="S24" s="19" t="s">
        <v>200</v>
      </c>
      <c r="T24" s="40">
        <v>58</v>
      </c>
      <c r="U24" s="18">
        <v>20170012</v>
      </c>
      <c r="V24" s="19">
        <v>21</v>
      </c>
      <c r="W24" s="19" t="s">
        <v>201</v>
      </c>
      <c r="X24" s="40">
        <v>32.5</v>
      </c>
      <c r="Y24" s="18">
        <v>20220056</v>
      </c>
      <c r="Z24" s="19">
        <v>21</v>
      </c>
      <c r="AA24" s="19" t="s">
        <v>202</v>
      </c>
      <c r="AB24" s="40">
        <v>50</v>
      </c>
      <c r="AC24" s="13">
        <v>20143085</v>
      </c>
      <c r="AD24" s="13">
        <v>21</v>
      </c>
      <c r="AE24" s="13" t="s">
        <v>203</v>
      </c>
      <c r="AF24" s="40">
        <v>57</v>
      </c>
      <c r="AG24" s="13">
        <v>20153014</v>
      </c>
      <c r="AH24" s="13">
        <v>21</v>
      </c>
      <c r="AI24" s="13" t="s">
        <v>204</v>
      </c>
      <c r="AJ24" s="40">
        <v>76</v>
      </c>
      <c r="AK24" s="15"/>
      <c r="AL24" s="15"/>
      <c r="AM24" s="15"/>
      <c r="AN24" s="16"/>
    </row>
    <row r="25" spans="1:40" ht="19.899999999999999" customHeight="1">
      <c r="A25" s="18">
        <v>20220080</v>
      </c>
      <c r="B25" s="19">
        <v>22</v>
      </c>
      <c r="C25" s="19" t="s">
        <v>205</v>
      </c>
      <c r="D25" s="40">
        <v>55.5</v>
      </c>
      <c r="E25" s="18">
        <v>20190066</v>
      </c>
      <c r="F25" s="19">
        <v>22</v>
      </c>
      <c r="G25" s="19" t="s">
        <v>206</v>
      </c>
      <c r="H25" s="40">
        <v>31.5</v>
      </c>
      <c r="I25" s="18">
        <v>20190075</v>
      </c>
      <c r="J25" s="19">
        <v>22</v>
      </c>
      <c r="K25" s="19" t="s">
        <v>207</v>
      </c>
      <c r="L25" s="40">
        <v>49.5</v>
      </c>
      <c r="M25" s="18">
        <v>20190008</v>
      </c>
      <c r="N25" s="19">
        <v>22</v>
      </c>
      <c r="O25" s="19" t="s">
        <v>208</v>
      </c>
      <c r="P25" s="40">
        <v>42</v>
      </c>
      <c r="Q25" s="18">
        <v>20133021</v>
      </c>
      <c r="R25" s="19">
        <v>22</v>
      </c>
      <c r="S25" s="19" t="s">
        <v>209</v>
      </c>
      <c r="T25" s="40">
        <v>73</v>
      </c>
      <c r="U25" s="18">
        <v>20190017</v>
      </c>
      <c r="V25" s="19">
        <v>22</v>
      </c>
      <c r="W25" s="19" t="s">
        <v>210</v>
      </c>
      <c r="X25" s="40">
        <v>29</v>
      </c>
      <c r="Y25" s="18">
        <v>20153058</v>
      </c>
      <c r="Z25" s="19">
        <v>22</v>
      </c>
      <c r="AA25" s="19" t="s">
        <v>211</v>
      </c>
      <c r="AB25" s="40">
        <v>68.5</v>
      </c>
      <c r="AC25" s="13">
        <v>20230215</v>
      </c>
      <c r="AD25" s="13">
        <v>22</v>
      </c>
      <c r="AE25" s="13" t="s">
        <v>212</v>
      </c>
      <c r="AF25" s="40">
        <v>56</v>
      </c>
      <c r="AG25" s="13">
        <v>20153076</v>
      </c>
      <c r="AH25" s="13">
        <v>22</v>
      </c>
      <c r="AI25" s="13" t="s">
        <v>213</v>
      </c>
      <c r="AJ25" s="40">
        <v>58.5</v>
      </c>
      <c r="AK25" s="15"/>
      <c r="AL25" s="15"/>
      <c r="AM25" s="15"/>
      <c r="AN25" s="16"/>
    </row>
    <row r="26" spans="1:40" ht="19.899999999999999" customHeight="1">
      <c r="A26" s="18">
        <v>20102020</v>
      </c>
      <c r="B26" s="19">
        <v>23</v>
      </c>
      <c r="C26" s="19" t="s">
        <v>214</v>
      </c>
      <c r="D26" s="40">
        <v>79.5</v>
      </c>
      <c r="E26" s="18">
        <v>20220191</v>
      </c>
      <c r="F26" s="19">
        <v>23</v>
      </c>
      <c r="G26" s="19" t="s">
        <v>215</v>
      </c>
      <c r="H26" s="40">
        <v>59.5</v>
      </c>
      <c r="I26" s="18">
        <v>20220096</v>
      </c>
      <c r="J26" s="19">
        <v>23</v>
      </c>
      <c r="K26" s="19" t="s">
        <v>216</v>
      </c>
      <c r="L26" s="40">
        <v>65.5</v>
      </c>
      <c r="M26" s="18">
        <v>20102053</v>
      </c>
      <c r="N26" s="19">
        <v>23</v>
      </c>
      <c r="O26" s="19" t="s">
        <v>217</v>
      </c>
      <c r="P26" s="40">
        <v>66</v>
      </c>
      <c r="Q26" s="18">
        <v>20122142</v>
      </c>
      <c r="R26" s="19">
        <v>23</v>
      </c>
      <c r="S26" s="19" t="s">
        <v>218</v>
      </c>
      <c r="T26" s="40">
        <v>67.5</v>
      </c>
      <c r="U26" s="18">
        <v>20190096</v>
      </c>
      <c r="V26" s="19">
        <v>23</v>
      </c>
      <c r="W26" s="19" t="s">
        <v>219</v>
      </c>
      <c r="X26" s="40">
        <v>43</v>
      </c>
      <c r="Y26" s="18">
        <v>20190206</v>
      </c>
      <c r="Z26" s="19">
        <v>23</v>
      </c>
      <c r="AA26" s="19" t="s">
        <v>220</v>
      </c>
      <c r="AB26" s="40">
        <v>56.5</v>
      </c>
      <c r="AC26" s="13">
        <v>20190102</v>
      </c>
      <c r="AD26" s="13">
        <v>23</v>
      </c>
      <c r="AE26" s="13" t="s">
        <v>221</v>
      </c>
      <c r="AF26" s="40">
        <v>34.5</v>
      </c>
      <c r="AG26" s="13">
        <v>20102045</v>
      </c>
      <c r="AH26" s="13">
        <v>23</v>
      </c>
      <c r="AI26" s="13" t="s">
        <v>222</v>
      </c>
      <c r="AJ26" s="40">
        <v>29</v>
      </c>
      <c r="AK26" s="15"/>
      <c r="AL26" s="15"/>
      <c r="AM26" s="15"/>
      <c r="AN26" s="16"/>
    </row>
    <row r="27" spans="1:40" ht="19.899999999999999" customHeight="1">
      <c r="A27" s="18">
        <v>20230335</v>
      </c>
      <c r="B27" s="19">
        <v>24</v>
      </c>
      <c r="C27" s="19" t="s">
        <v>223</v>
      </c>
      <c r="D27" s="40">
        <v>83.5</v>
      </c>
      <c r="E27" s="18">
        <v>20173026</v>
      </c>
      <c r="F27" s="19">
        <v>24</v>
      </c>
      <c r="G27" s="19" t="s">
        <v>224</v>
      </c>
      <c r="H27" s="40">
        <v>64</v>
      </c>
      <c r="I27" s="18">
        <v>20220077</v>
      </c>
      <c r="J27" s="19">
        <v>24</v>
      </c>
      <c r="K27" s="19" t="s">
        <v>225</v>
      </c>
      <c r="L27" s="40">
        <v>81</v>
      </c>
      <c r="M27" s="18">
        <v>20200188</v>
      </c>
      <c r="N27" s="19">
        <v>24</v>
      </c>
      <c r="O27" s="19" t="s">
        <v>226</v>
      </c>
      <c r="P27" s="40">
        <v>70.5</v>
      </c>
      <c r="Q27" s="18">
        <v>20163082</v>
      </c>
      <c r="R27" s="19">
        <v>24</v>
      </c>
      <c r="S27" s="19" t="s">
        <v>227</v>
      </c>
      <c r="T27" s="40">
        <v>71</v>
      </c>
      <c r="U27" s="18">
        <v>20163074</v>
      </c>
      <c r="V27" s="19">
        <v>24</v>
      </c>
      <c r="W27" s="19" t="s">
        <v>228</v>
      </c>
      <c r="X27" s="40">
        <v>58</v>
      </c>
      <c r="Y27" s="18">
        <v>20210195</v>
      </c>
      <c r="Z27" s="19">
        <v>24</v>
      </c>
      <c r="AA27" s="19" t="s">
        <v>229</v>
      </c>
      <c r="AB27" s="40">
        <v>46.5</v>
      </c>
      <c r="AC27" s="13">
        <v>20190051</v>
      </c>
      <c r="AD27" s="13">
        <v>24</v>
      </c>
      <c r="AE27" s="13" t="s">
        <v>230</v>
      </c>
      <c r="AF27" s="40">
        <v>29</v>
      </c>
      <c r="AG27" s="13">
        <v>20102016</v>
      </c>
      <c r="AH27" s="13">
        <v>24</v>
      </c>
      <c r="AI27" s="13" t="s">
        <v>231</v>
      </c>
      <c r="AJ27" s="40">
        <v>84.5</v>
      </c>
      <c r="AK27" s="15"/>
      <c r="AL27" s="15"/>
      <c r="AM27" s="15"/>
      <c r="AN27" s="16"/>
    </row>
    <row r="28" spans="1:40" ht="19.899999999999999" customHeight="1">
      <c r="A28" s="18">
        <v>20102077</v>
      </c>
      <c r="B28" s="19">
        <v>25</v>
      </c>
      <c r="C28" s="19" t="s">
        <v>232</v>
      </c>
      <c r="D28" s="40">
        <v>52</v>
      </c>
      <c r="E28" s="18">
        <v>20143113</v>
      </c>
      <c r="F28" s="19">
        <v>25</v>
      </c>
      <c r="G28" s="19" t="s">
        <v>233</v>
      </c>
      <c r="H28" s="40">
        <v>88.5</v>
      </c>
      <c r="I28" s="18">
        <v>20102022</v>
      </c>
      <c r="J28" s="19">
        <v>25</v>
      </c>
      <c r="K28" s="19" t="s">
        <v>234</v>
      </c>
      <c r="L28" s="40">
        <v>65</v>
      </c>
      <c r="M28" s="18">
        <v>20230345</v>
      </c>
      <c r="N28" s="19">
        <v>25</v>
      </c>
      <c r="O28" s="19" t="s">
        <v>235</v>
      </c>
      <c r="P28" s="40">
        <v>58.5</v>
      </c>
      <c r="Q28" s="18">
        <v>20102024</v>
      </c>
      <c r="R28" s="19">
        <v>25</v>
      </c>
      <c r="S28" s="19" t="s">
        <v>236</v>
      </c>
      <c r="T28" s="40">
        <v>0</v>
      </c>
      <c r="U28" s="18">
        <v>20190034</v>
      </c>
      <c r="V28" s="19">
        <v>25</v>
      </c>
      <c r="W28" s="19" t="s">
        <v>237</v>
      </c>
      <c r="X28" s="40">
        <v>61.5</v>
      </c>
      <c r="Y28" s="18">
        <v>20123048</v>
      </c>
      <c r="Z28" s="19">
        <v>25</v>
      </c>
      <c r="AA28" s="19" t="s">
        <v>238</v>
      </c>
      <c r="AB28" s="40">
        <v>56</v>
      </c>
      <c r="AC28" s="13">
        <v>20102071</v>
      </c>
      <c r="AD28" s="13">
        <v>25</v>
      </c>
      <c r="AE28" s="13" t="s">
        <v>239</v>
      </c>
      <c r="AF28" s="40">
        <v>0</v>
      </c>
      <c r="AG28" s="13">
        <v>20190064</v>
      </c>
      <c r="AH28" s="13">
        <v>25</v>
      </c>
      <c r="AI28" s="13" t="s">
        <v>240</v>
      </c>
      <c r="AJ28" s="40">
        <v>69</v>
      </c>
      <c r="AK28" s="15"/>
      <c r="AL28" s="15"/>
      <c r="AM28" s="15"/>
      <c r="AN28" s="16"/>
    </row>
    <row r="29" spans="1:40" ht="19.899999999999999" customHeight="1">
      <c r="A29" s="21">
        <v>20173023</v>
      </c>
      <c r="B29" s="13">
        <v>26</v>
      </c>
      <c r="C29" s="13" t="s">
        <v>241</v>
      </c>
      <c r="D29" s="40">
        <v>82.5</v>
      </c>
      <c r="E29" s="21">
        <v>20133024</v>
      </c>
      <c r="F29" s="13">
        <v>26</v>
      </c>
      <c r="G29" s="13" t="s">
        <v>242</v>
      </c>
      <c r="H29" s="40">
        <v>74</v>
      </c>
      <c r="I29" s="21">
        <v>20163081</v>
      </c>
      <c r="J29" s="13">
        <v>26</v>
      </c>
      <c r="K29" s="13" t="s">
        <v>243</v>
      </c>
      <c r="L29" s="40">
        <v>52</v>
      </c>
      <c r="M29" s="21">
        <v>20240363</v>
      </c>
      <c r="N29" s="13">
        <v>26</v>
      </c>
      <c r="O29" s="13" t="s">
        <v>244</v>
      </c>
      <c r="P29" s="40">
        <v>53</v>
      </c>
      <c r="Q29" s="21">
        <v>20210222</v>
      </c>
      <c r="R29" s="13">
        <v>26</v>
      </c>
      <c r="S29" s="13" t="s">
        <v>245</v>
      </c>
      <c r="T29" s="40">
        <v>40.5</v>
      </c>
      <c r="U29" s="21">
        <v>20122136</v>
      </c>
      <c r="V29" s="13">
        <v>26</v>
      </c>
      <c r="W29" s="13" t="s">
        <v>246</v>
      </c>
      <c r="X29" s="40">
        <v>31.5</v>
      </c>
      <c r="Y29" s="21">
        <v>20180027</v>
      </c>
      <c r="Z29" s="13">
        <v>26</v>
      </c>
      <c r="AA29" s="13" t="s">
        <v>247</v>
      </c>
      <c r="AB29" s="40">
        <v>32.5</v>
      </c>
      <c r="AC29" s="13">
        <v>20190027</v>
      </c>
      <c r="AD29" s="13">
        <v>26</v>
      </c>
      <c r="AE29" s="13" t="s">
        <v>248</v>
      </c>
      <c r="AF29" s="40">
        <v>43</v>
      </c>
      <c r="AG29" s="13">
        <v>20190001</v>
      </c>
      <c r="AH29" s="13">
        <v>26</v>
      </c>
      <c r="AI29" s="13" t="s">
        <v>249</v>
      </c>
      <c r="AJ29" s="40">
        <v>68</v>
      </c>
      <c r="AK29" s="15"/>
      <c r="AL29" s="15"/>
      <c r="AM29" s="15"/>
      <c r="AN29" s="16"/>
    </row>
    <row r="30" spans="1:40" ht="19.899999999999999" customHeight="1">
      <c r="A30" s="21">
        <v>20190041</v>
      </c>
      <c r="B30" s="13">
        <v>27</v>
      </c>
      <c r="C30" s="13" t="s">
        <v>250</v>
      </c>
      <c r="D30" s="40">
        <v>60.5</v>
      </c>
      <c r="E30" s="21">
        <v>20220120</v>
      </c>
      <c r="F30" s="13">
        <v>27</v>
      </c>
      <c r="G30" s="13" t="s">
        <v>251</v>
      </c>
      <c r="H30" s="40">
        <v>69</v>
      </c>
      <c r="I30" s="21">
        <v>20220095</v>
      </c>
      <c r="J30" s="13">
        <v>27</v>
      </c>
      <c r="K30" s="13" t="s">
        <v>252</v>
      </c>
      <c r="L30" s="40">
        <v>94.5</v>
      </c>
      <c r="M30" s="21"/>
      <c r="N30" s="13"/>
      <c r="O30" s="13"/>
      <c r="P30" s="13"/>
      <c r="Q30" s="21">
        <v>20220089</v>
      </c>
      <c r="R30" s="13">
        <v>27</v>
      </c>
      <c r="S30" s="13" t="s">
        <v>253</v>
      </c>
      <c r="T30" s="40">
        <v>62.5</v>
      </c>
      <c r="U30" s="21">
        <v>20190093</v>
      </c>
      <c r="V30" s="13">
        <v>27</v>
      </c>
      <c r="W30" s="13" t="s">
        <v>254</v>
      </c>
      <c r="X30" s="40">
        <v>71</v>
      </c>
      <c r="Y30" s="21">
        <v>20190215</v>
      </c>
      <c r="Z30" s="13">
        <v>27</v>
      </c>
      <c r="AA30" s="13" t="s">
        <v>255</v>
      </c>
      <c r="AB30" s="40">
        <v>45.5</v>
      </c>
      <c r="AC30" s="13">
        <v>20133019</v>
      </c>
      <c r="AD30" s="13">
        <v>27</v>
      </c>
      <c r="AE30" s="13" t="s">
        <v>256</v>
      </c>
      <c r="AF30" s="40">
        <v>48.5</v>
      </c>
      <c r="AG30" s="13">
        <v>20210259</v>
      </c>
      <c r="AH30" s="13">
        <v>27</v>
      </c>
      <c r="AI30" s="13" t="s">
        <v>257</v>
      </c>
      <c r="AJ30" s="40">
        <v>60.5</v>
      </c>
      <c r="AK30" s="15"/>
      <c r="AL30" s="15"/>
      <c r="AM30" s="15"/>
      <c r="AN30" s="16"/>
    </row>
    <row r="31" spans="1:40" ht="19.899999999999999" customHeight="1">
      <c r="A31" s="21">
        <v>20220054</v>
      </c>
      <c r="B31" s="13">
        <v>28</v>
      </c>
      <c r="C31" s="13" t="s">
        <v>258</v>
      </c>
      <c r="D31" s="40">
        <v>80.5</v>
      </c>
      <c r="E31" s="21"/>
      <c r="F31" s="13"/>
      <c r="G31" s="13"/>
      <c r="H31" s="13"/>
      <c r="I31" s="21"/>
      <c r="J31" s="13"/>
      <c r="K31" s="13"/>
      <c r="L31" s="13"/>
      <c r="M31" s="21"/>
      <c r="N31" s="13"/>
      <c r="O31" s="13"/>
      <c r="P31" s="13"/>
      <c r="Q31" s="21"/>
      <c r="R31" s="13"/>
      <c r="S31" s="13"/>
      <c r="T31" s="13"/>
      <c r="U31" s="21">
        <v>20220098</v>
      </c>
      <c r="V31" s="13">
        <v>28</v>
      </c>
      <c r="W31" s="13" t="s">
        <v>259</v>
      </c>
      <c r="X31" s="40">
        <v>20.5</v>
      </c>
      <c r="Y31" s="21">
        <v>20220151</v>
      </c>
      <c r="Z31" s="13">
        <v>28</v>
      </c>
      <c r="AA31" s="13" t="s">
        <v>260</v>
      </c>
      <c r="AB31" s="40">
        <v>23</v>
      </c>
      <c r="AC31" s="13">
        <v>20190039</v>
      </c>
      <c r="AD31" s="13">
        <v>28</v>
      </c>
      <c r="AE31" s="13" t="s">
        <v>261</v>
      </c>
      <c r="AF31" s="40">
        <v>28.5</v>
      </c>
      <c r="AG31" s="13">
        <v>20102021</v>
      </c>
      <c r="AH31" s="13">
        <v>28</v>
      </c>
      <c r="AI31" s="13" t="s">
        <v>262</v>
      </c>
      <c r="AJ31" s="40">
        <v>61</v>
      </c>
      <c r="AK31" s="15"/>
      <c r="AL31" s="15"/>
      <c r="AM31" s="15"/>
      <c r="AN31" s="16"/>
    </row>
    <row r="32" spans="1:40" ht="19.899999999999999" customHeight="1">
      <c r="A32" s="21"/>
      <c r="B32" s="13"/>
      <c r="C32" s="13"/>
      <c r="D32" s="13"/>
      <c r="E32" s="21"/>
      <c r="F32" s="13"/>
      <c r="G32" s="13"/>
      <c r="H32" s="13"/>
      <c r="I32" s="21"/>
      <c r="J32" s="13"/>
      <c r="K32" s="13"/>
      <c r="L32" s="13"/>
      <c r="M32" s="21"/>
      <c r="N32" s="13"/>
      <c r="O32" s="13"/>
      <c r="P32" s="13"/>
      <c r="Q32" s="21"/>
      <c r="R32" s="13"/>
      <c r="S32" s="13"/>
      <c r="T32" s="13"/>
      <c r="U32" s="21">
        <v>20190077</v>
      </c>
      <c r="V32" s="13">
        <v>29</v>
      </c>
      <c r="W32" s="13" t="s">
        <v>263</v>
      </c>
      <c r="X32" s="40">
        <v>51.5</v>
      </c>
      <c r="Y32" s="21">
        <v>20190002</v>
      </c>
      <c r="Z32" s="13">
        <v>29</v>
      </c>
      <c r="AA32" s="13" t="s">
        <v>264</v>
      </c>
      <c r="AB32" s="40">
        <v>40.5</v>
      </c>
      <c r="AC32" s="13">
        <v>20210268</v>
      </c>
      <c r="AD32" s="13">
        <v>29</v>
      </c>
      <c r="AE32" s="13" t="s">
        <v>265</v>
      </c>
      <c r="AF32" s="40">
        <v>32</v>
      </c>
      <c r="AG32" s="13">
        <v>20190223</v>
      </c>
      <c r="AH32" s="13">
        <v>29</v>
      </c>
      <c r="AI32" s="13" t="s">
        <v>266</v>
      </c>
      <c r="AJ32" s="40">
        <v>62</v>
      </c>
      <c r="AK32" s="15"/>
      <c r="AL32" s="15"/>
      <c r="AM32" s="15"/>
      <c r="AN32" s="16"/>
    </row>
    <row r="33" spans="1:40" ht="19.899999999999999" customHeight="1">
      <c r="A33" s="21"/>
      <c r="B33" s="13"/>
      <c r="C33" s="13"/>
      <c r="D33" s="13"/>
      <c r="E33" s="21"/>
      <c r="F33" s="13"/>
      <c r="G33" s="13"/>
      <c r="H33" s="13"/>
      <c r="I33" s="21"/>
      <c r="J33" s="13"/>
      <c r="K33" s="13"/>
      <c r="L33" s="13"/>
      <c r="M33" s="21"/>
      <c r="N33" s="13"/>
      <c r="O33" s="13"/>
      <c r="P33" s="13"/>
      <c r="Q33" s="21"/>
      <c r="R33" s="13"/>
      <c r="S33" s="13"/>
      <c r="T33" s="13"/>
      <c r="U33" s="21">
        <v>20190031</v>
      </c>
      <c r="V33" s="13">
        <v>30</v>
      </c>
      <c r="W33" s="13" t="s">
        <v>267</v>
      </c>
      <c r="X33" s="40">
        <v>34</v>
      </c>
      <c r="Y33" s="21">
        <v>20102079</v>
      </c>
      <c r="Z33" s="13">
        <v>30</v>
      </c>
      <c r="AA33" s="13" t="s">
        <v>268</v>
      </c>
      <c r="AB33" s="40">
        <v>72</v>
      </c>
      <c r="AC33" s="13">
        <v>20133025</v>
      </c>
      <c r="AD33" s="13">
        <v>30</v>
      </c>
      <c r="AE33" s="13" t="s">
        <v>269</v>
      </c>
      <c r="AF33" s="40">
        <v>84</v>
      </c>
      <c r="AG33" s="13">
        <v>20190023</v>
      </c>
      <c r="AH33" s="13">
        <v>30</v>
      </c>
      <c r="AI33" s="13" t="s">
        <v>270</v>
      </c>
      <c r="AJ33" s="40">
        <v>43.5</v>
      </c>
      <c r="AK33" s="15"/>
      <c r="AL33" s="15"/>
      <c r="AM33" s="15"/>
      <c r="AN33" s="16"/>
    </row>
    <row r="34" spans="1:40" ht="19.899999999999999" customHeight="1">
      <c r="A34" s="21"/>
      <c r="B34" s="13"/>
      <c r="C34" s="13"/>
      <c r="D34" s="13"/>
      <c r="E34" s="21"/>
      <c r="F34" s="13"/>
      <c r="G34" s="13"/>
      <c r="H34" s="13"/>
      <c r="I34" s="21"/>
      <c r="J34" s="13"/>
      <c r="K34" s="13"/>
      <c r="L34" s="13"/>
      <c r="M34" s="21"/>
      <c r="N34" s="13"/>
      <c r="O34" s="13"/>
      <c r="P34" s="13"/>
      <c r="Q34" s="21"/>
      <c r="R34" s="13"/>
      <c r="S34" s="13"/>
      <c r="T34" s="13"/>
      <c r="U34" s="21">
        <v>20102054</v>
      </c>
      <c r="V34" s="13">
        <v>31</v>
      </c>
      <c r="W34" s="13" t="s">
        <v>271</v>
      </c>
      <c r="X34" s="40">
        <v>79.5</v>
      </c>
      <c r="Y34" s="21">
        <v>20143082</v>
      </c>
      <c r="Z34" s="13">
        <v>31</v>
      </c>
      <c r="AA34" s="13" t="s">
        <v>272</v>
      </c>
      <c r="AB34" s="40">
        <v>82.5</v>
      </c>
      <c r="AC34" s="13">
        <v>20210183</v>
      </c>
      <c r="AD34" s="13">
        <v>31</v>
      </c>
      <c r="AE34" s="13" t="s">
        <v>273</v>
      </c>
      <c r="AF34" s="40">
        <v>27</v>
      </c>
      <c r="AG34" s="13">
        <v>20102023</v>
      </c>
      <c r="AH34" s="13">
        <v>31</v>
      </c>
      <c r="AI34" s="13" t="s">
        <v>274</v>
      </c>
      <c r="AJ34" s="40">
        <v>79.5</v>
      </c>
      <c r="AK34" s="15"/>
      <c r="AL34" s="15"/>
      <c r="AM34" s="15"/>
      <c r="AN34" s="16"/>
    </row>
    <row r="35" spans="1:40" ht="19.899999999999999" customHeight="1">
      <c r="A35" s="21"/>
      <c r="B35" s="13"/>
      <c r="C35" s="13"/>
      <c r="D35" s="13"/>
      <c r="E35" s="21"/>
      <c r="F35" s="13"/>
      <c r="G35" s="13"/>
      <c r="H35" s="13"/>
      <c r="I35" s="21"/>
      <c r="J35" s="13"/>
      <c r="K35" s="13"/>
      <c r="L35" s="13"/>
      <c r="M35" s="21"/>
      <c r="N35" s="13"/>
      <c r="O35" s="13"/>
      <c r="P35" s="13"/>
      <c r="Q35" s="21"/>
      <c r="R35" s="13"/>
      <c r="S35" s="13"/>
      <c r="T35" s="13"/>
      <c r="U35" s="21">
        <v>20190202</v>
      </c>
      <c r="V35" s="13">
        <v>32</v>
      </c>
      <c r="W35" s="13" t="s">
        <v>275</v>
      </c>
      <c r="X35" s="40">
        <v>37</v>
      </c>
      <c r="Y35" s="21">
        <v>20102055</v>
      </c>
      <c r="Z35" s="13">
        <v>32</v>
      </c>
      <c r="AA35" s="13" t="s">
        <v>276</v>
      </c>
      <c r="AB35" s="40">
        <v>64</v>
      </c>
      <c r="AC35" s="13">
        <v>20153057</v>
      </c>
      <c r="AD35" s="13">
        <v>32</v>
      </c>
      <c r="AE35" s="13" t="s">
        <v>277</v>
      </c>
      <c r="AF35" s="40">
        <v>51.5</v>
      </c>
      <c r="AG35" s="13">
        <v>20210220</v>
      </c>
      <c r="AH35" s="13">
        <v>32</v>
      </c>
      <c r="AI35" s="13" t="s">
        <v>278</v>
      </c>
      <c r="AJ35" s="40">
        <v>79</v>
      </c>
      <c r="AK35" s="15"/>
      <c r="AL35" s="15"/>
      <c r="AM35" s="15"/>
      <c r="AN35" s="16"/>
    </row>
    <row r="36" spans="1:40" ht="19.899999999999999" customHeight="1">
      <c r="A36" s="21"/>
      <c r="B36" s="13"/>
      <c r="C36" s="13"/>
      <c r="D36" s="13"/>
      <c r="E36" s="21"/>
      <c r="F36" s="13"/>
      <c r="G36" s="13"/>
      <c r="H36" s="13"/>
      <c r="I36" s="21"/>
      <c r="J36" s="13"/>
      <c r="K36" s="13"/>
      <c r="L36" s="13"/>
      <c r="M36" s="21"/>
      <c r="N36" s="13"/>
      <c r="O36" s="13"/>
      <c r="P36" s="13"/>
      <c r="Q36" s="21"/>
      <c r="R36" s="13"/>
      <c r="S36" s="13"/>
      <c r="T36" s="13"/>
      <c r="U36" s="21">
        <v>20220067</v>
      </c>
      <c r="V36" s="13">
        <v>33</v>
      </c>
      <c r="W36" s="13" t="s">
        <v>279</v>
      </c>
      <c r="X36" s="40">
        <v>56.5</v>
      </c>
      <c r="Y36" s="21">
        <v>20200213</v>
      </c>
      <c r="Z36" s="13">
        <v>33</v>
      </c>
      <c r="AA36" s="13" t="s">
        <v>280</v>
      </c>
      <c r="AB36" s="40">
        <v>71.5</v>
      </c>
      <c r="AC36" s="13">
        <v>20190045</v>
      </c>
      <c r="AD36" s="13">
        <v>33</v>
      </c>
      <c r="AE36" s="13" t="s">
        <v>281</v>
      </c>
      <c r="AF36" s="40">
        <v>29.5</v>
      </c>
      <c r="AG36" s="13">
        <v>20210264</v>
      </c>
      <c r="AH36" s="13">
        <v>33</v>
      </c>
      <c r="AI36" s="13" t="s">
        <v>282</v>
      </c>
      <c r="AJ36" s="40">
        <v>49</v>
      </c>
      <c r="AK36" s="15"/>
      <c r="AL36" s="15"/>
      <c r="AM36" s="15"/>
      <c r="AN36" s="16"/>
    </row>
    <row r="37" spans="1:40" ht="19.899999999999999" customHeight="1">
      <c r="A37" s="21"/>
      <c r="B37" s="13"/>
      <c r="C37" s="13"/>
      <c r="D37" s="13"/>
      <c r="E37" s="21"/>
      <c r="F37" s="13"/>
      <c r="G37" s="13"/>
      <c r="H37" s="13"/>
      <c r="I37" s="21"/>
      <c r="J37" s="13"/>
      <c r="K37" s="13"/>
      <c r="L37" s="13"/>
      <c r="M37" s="21"/>
      <c r="N37" s="13"/>
      <c r="O37" s="13"/>
      <c r="P37" s="13"/>
      <c r="Q37" s="21"/>
      <c r="R37" s="13"/>
      <c r="S37" s="13"/>
      <c r="T37" s="13"/>
      <c r="U37" s="21"/>
      <c r="V37" s="13"/>
      <c r="W37" s="13"/>
      <c r="X37" s="13"/>
      <c r="Y37" s="21">
        <v>20180070</v>
      </c>
      <c r="Z37" s="13">
        <v>34</v>
      </c>
      <c r="AA37" s="13" t="s">
        <v>283</v>
      </c>
      <c r="AB37" s="40">
        <v>56</v>
      </c>
      <c r="AC37" s="13"/>
      <c r="AD37" s="13"/>
      <c r="AE37" s="13"/>
      <c r="AF37" s="13"/>
      <c r="AG37" s="13">
        <v>20102052</v>
      </c>
      <c r="AH37" s="13">
        <v>34</v>
      </c>
      <c r="AI37" s="13" t="s">
        <v>284</v>
      </c>
      <c r="AJ37" s="40">
        <v>75.5</v>
      </c>
      <c r="AK37" s="15"/>
      <c r="AL37" s="15"/>
      <c r="AM37" s="15"/>
      <c r="AN37" s="16"/>
    </row>
    <row r="38" spans="1:40" ht="19.899999999999999" customHeight="1">
      <c r="A38" s="21"/>
      <c r="B38" s="13"/>
      <c r="C38" s="13"/>
      <c r="D38" s="13"/>
      <c r="E38" s="21"/>
      <c r="F38" s="13"/>
      <c r="G38" s="13"/>
      <c r="H38" s="13"/>
      <c r="I38" s="21"/>
      <c r="J38" s="13"/>
      <c r="K38" s="13"/>
      <c r="L38" s="13"/>
      <c r="M38" s="21"/>
      <c r="N38" s="13"/>
      <c r="O38" s="13"/>
      <c r="P38" s="13"/>
      <c r="Q38" s="21"/>
      <c r="R38" s="13"/>
      <c r="S38" s="13"/>
      <c r="T38" s="13"/>
      <c r="U38" s="21"/>
      <c r="V38" s="13"/>
      <c r="W38" s="13"/>
      <c r="X38" s="13"/>
      <c r="Y38" s="21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5"/>
      <c r="AL38" s="15"/>
      <c r="AM38" s="15"/>
      <c r="AN38" s="16"/>
    </row>
    <row r="39" spans="1:40" ht="16.5" thickBot="1">
      <c r="A39" s="22"/>
      <c r="B39" s="23"/>
      <c r="C39" s="23"/>
      <c r="D39" s="23"/>
      <c r="E39" s="22"/>
      <c r="F39" s="23"/>
      <c r="G39" s="23"/>
      <c r="H39" s="23"/>
      <c r="I39" s="22"/>
      <c r="J39" s="23"/>
      <c r="K39" s="23"/>
      <c r="L39" s="23"/>
      <c r="M39" s="22"/>
      <c r="N39" s="23"/>
      <c r="O39" s="23"/>
      <c r="P39" s="23"/>
      <c r="Q39" s="22"/>
      <c r="R39" s="23"/>
      <c r="S39" s="23"/>
      <c r="T39" s="23"/>
      <c r="U39" s="22"/>
      <c r="V39" s="23"/>
      <c r="W39" s="23"/>
      <c r="X39" s="23"/>
      <c r="Y39" s="22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4"/>
      <c r="AL39" s="24"/>
      <c r="AM39" s="24"/>
      <c r="AN39" s="25"/>
    </row>
    <row r="40" spans="1:40" ht="16.5" thickTop="1">
      <c r="A40" s="26"/>
      <c r="B40" s="17"/>
      <c r="C40" s="27"/>
      <c r="D40" s="28"/>
      <c r="E40" s="26"/>
      <c r="F40" s="17"/>
      <c r="G40" s="27"/>
      <c r="H40" s="28"/>
      <c r="I40" s="26"/>
      <c r="J40" s="17"/>
      <c r="K40" s="27"/>
      <c r="L40" s="28"/>
      <c r="M40" s="26"/>
      <c r="N40" s="17"/>
      <c r="O40" s="27"/>
      <c r="P40" s="28"/>
      <c r="Q40" s="26"/>
      <c r="R40" s="17"/>
      <c r="S40" s="27"/>
      <c r="T40" s="28"/>
      <c r="U40" s="26"/>
      <c r="V40" s="17"/>
      <c r="W40" s="27"/>
      <c r="X40" s="28"/>
      <c r="Y40" s="26"/>
      <c r="Z40" s="17"/>
      <c r="AA40" s="27"/>
      <c r="AB40" s="28"/>
    </row>
    <row r="41" spans="1:40">
      <c r="A41" s="26"/>
      <c r="B41" s="17"/>
      <c r="C41" s="27"/>
      <c r="D41" s="28"/>
      <c r="E41" s="26"/>
      <c r="F41" s="17"/>
      <c r="G41" s="27"/>
      <c r="H41" s="28"/>
      <c r="I41" s="26"/>
      <c r="J41" s="17"/>
      <c r="K41" s="27"/>
      <c r="L41" s="28"/>
      <c r="M41" s="26"/>
      <c r="N41" s="17"/>
      <c r="O41" s="27"/>
      <c r="P41" s="28"/>
      <c r="Q41" s="26"/>
      <c r="R41" s="17"/>
      <c r="S41" s="27"/>
      <c r="T41" s="28"/>
      <c r="U41" s="26"/>
      <c r="V41" s="17"/>
      <c r="W41" s="27"/>
      <c r="X41" s="28"/>
      <c r="Y41" s="26"/>
      <c r="Z41" s="17"/>
      <c r="AA41" s="27"/>
      <c r="AB41" s="28"/>
    </row>
    <row r="42" spans="1:40" ht="14.85" customHeight="1">
      <c r="A42" s="26"/>
      <c r="B42" s="17"/>
      <c r="C42" s="27"/>
      <c r="D42" s="28"/>
      <c r="E42" s="26"/>
      <c r="F42" s="17"/>
      <c r="G42" s="27"/>
      <c r="H42" s="28"/>
      <c r="I42" s="26"/>
      <c r="J42" s="17"/>
      <c r="K42" s="27"/>
      <c r="L42" s="28"/>
      <c r="M42" s="26"/>
      <c r="N42" s="17"/>
      <c r="O42" s="27"/>
      <c r="P42" s="28"/>
      <c r="Q42" s="26"/>
      <c r="R42" s="17"/>
      <c r="S42" s="27"/>
      <c r="T42" s="28"/>
      <c r="U42" s="26"/>
      <c r="V42" s="17"/>
      <c r="W42" s="27"/>
      <c r="X42" s="28"/>
      <c r="Y42" s="26"/>
      <c r="Z42" s="17"/>
      <c r="AA42" s="27"/>
      <c r="AB42" s="28"/>
    </row>
    <row r="43" spans="1:40" ht="14.85" customHeight="1">
      <c r="A43" s="26"/>
      <c r="B43" s="17"/>
      <c r="C43" s="27"/>
      <c r="D43" s="28"/>
      <c r="E43" s="26"/>
      <c r="F43" s="17"/>
      <c r="G43" s="27" t="s">
        <v>285</v>
      </c>
      <c r="H43" s="28"/>
      <c r="I43" s="26"/>
      <c r="J43" s="17"/>
      <c r="K43" s="27"/>
      <c r="L43" s="28"/>
      <c r="M43" s="26"/>
      <c r="N43" s="17"/>
      <c r="O43" s="27"/>
      <c r="P43" s="28"/>
      <c r="Q43" s="26"/>
      <c r="R43" s="17"/>
      <c r="S43" s="27"/>
      <c r="T43" s="28"/>
      <c r="U43" s="26"/>
      <c r="V43" s="17"/>
      <c r="W43" s="27"/>
      <c r="X43" s="28"/>
      <c r="Y43" s="26"/>
      <c r="Z43" s="17"/>
      <c r="AA43" s="27"/>
      <c r="AB43" s="28"/>
      <c r="AE43" s="27"/>
      <c r="AI43" s="27"/>
    </row>
    <row r="44" spans="1:40" ht="14.85" customHeight="1">
      <c r="A44" s="26"/>
      <c r="B44" s="17"/>
      <c r="C44" s="27"/>
      <c r="D44" s="28"/>
      <c r="E44" s="26"/>
      <c r="F44" s="17"/>
      <c r="G44" s="27" t="s">
        <v>2</v>
      </c>
      <c r="H44" s="28"/>
      <c r="I44" s="26"/>
      <c r="J44" s="17"/>
      <c r="K44" s="27"/>
      <c r="L44" s="28"/>
      <c r="M44" s="26"/>
      <c r="N44" s="17"/>
      <c r="O44" s="27"/>
      <c r="P44" s="28"/>
      <c r="Q44" s="26"/>
      <c r="R44" s="17"/>
      <c r="S44" s="27"/>
      <c r="T44" s="28"/>
      <c r="U44" s="26"/>
      <c r="V44" s="17"/>
      <c r="W44" s="27"/>
      <c r="X44" s="28"/>
      <c r="Y44" s="26"/>
      <c r="Z44" s="17"/>
      <c r="AA44" s="27"/>
      <c r="AB44" s="28"/>
    </row>
    <row r="45" spans="1:40" ht="14.85" customHeight="1">
      <c r="A45" s="26"/>
      <c r="B45" s="17"/>
      <c r="C45" s="27"/>
      <c r="D45" s="28"/>
      <c r="E45" s="26"/>
      <c r="F45" s="17"/>
      <c r="G45" s="27" t="s">
        <v>286</v>
      </c>
      <c r="H45" s="28"/>
      <c r="I45" s="26"/>
      <c r="J45" s="17"/>
      <c r="K45" s="27"/>
      <c r="L45" s="28"/>
      <c r="M45" s="26"/>
      <c r="N45" s="17"/>
      <c r="O45" s="27"/>
      <c r="P45" s="28"/>
      <c r="Q45" s="26"/>
      <c r="R45" s="17"/>
      <c r="S45" s="27"/>
      <c r="T45" s="28"/>
      <c r="U45" s="26"/>
      <c r="V45" s="17"/>
      <c r="W45" s="27"/>
      <c r="X45" s="28"/>
      <c r="Y45" s="26"/>
      <c r="Z45" s="17"/>
      <c r="AA45" s="27"/>
      <c r="AB45" s="28"/>
    </row>
    <row r="46" spans="1:40" ht="14.85" customHeight="1">
      <c r="A46" s="26"/>
      <c r="B46" s="17"/>
      <c r="C46" s="27"/>
      <c r="D46" s="28"/>
      <c r="E46" s="26"/>
      <c r="F46" s="17"/>
      <c r="G46" s="27" t="s">
        <v>287</v>
      </c>
      <c r="H46" s="28"/>
      <c r="I46" s="26"/>
      <c r="J46" s="17"/>
      <c r="K46" s="27"/>
      <c r="L46" s="28"/>
      <c r="M46" s="26"/>
      <c r="N46" s="17"/>
      <c r="O46" s="27"/>
      <c r="P46" s="28"/>
      <c r="Q46" s="26"/>
      <c r="R46" s="17"/>
      <c r="S46" s="27"/>
      <c r="T46" s="28"/>
      <c r="U46" s="26"/>
      <c r="V46" s="17"/>
      <c r="W46" s="27"/>
      <c r="X46" s="28"/>
      <c r="Y46" s="26"/>
      <c r="Z46" s="17"/>
      <c r="AA46" s="27"/>
      <c r="AB46" s="28"/>
    </row>
    <row r="47" spans="1:40" ht="14.85" customHeight="1">
      <c r="A47" s="26"/>
      <c r="B47" s="17"/>
      <c r="C47" s="27"/>
      <c r="D47" s="28"/>
      <c r="E47" s="26"/>
      <c r="F47" s="17"/>
      <c r="G47" s="27" t="s">
        <v>288</v>
      </c>
      <c r="H47" s="28"/>
      <c r="I47" s="26"/>
      <c r="J47" s="17"/>
      <c r="K47" s="27"/>
      <c r="L47" s="28"/>
      <c r="M47" s="26"/>
      <c r="N47" s="17"/>
      <c r="O47" s="27"/>
      <c r="P47" s="28"/>
      <c r="Q47" s="26"/>
      <c r="R47" s="17"/>
      <c r="S47" s="27"/>
      <c r="T47" s="28"/>
      <c r="U47" s="26"/>
      <c r="V47" s="17"/>
      <c r="W47" s="27"/>
      <c r="X47" s="28"/>
      <c r="Y47" s="26"/>
      <c r="Z47" s="17"/>
      <c r="AA47" s="27"/>
      <c r="AB47" s="28"/>
    </row>
    <row r="48" spans="1:40" ht="14.85" customHeight="1">
      <c r="A48" s="26"/>
      <c r="B48" s="17"/>
      <c r="C48" s="27"/>
      <c r="D48" s="28"/>
      <c r="E48" s="26"/>
      <c r="F48" s="17"/>
      <c r="G48" s="27" t="s">
        <v>289</v>
      </c>
      <c r="H48" s="28"/>
      <c r="I48" s="26"/>
      <c r="J48" s="17"/>
      <c r="K48" s="27"/>
      <c r="L48" s="28"/>
      <c r="M48" s="26"/>
      <c r="N48" s="17"/>
      <c r="O48" s="27"/>
      <c r="P48" s="28"/>
      <c r="Q48" s="26"/>
      <c r="R48" s="17"/>
      <c r="S48" s="27"/>
      <c r="T48" s="28"/>
      <c r="U48" s="26"/>
      <c r="V48" s="17"/>
      <c r="W48" s="27"/>
      <c r="X48" s="28"/>
      <c r="Y48" s="26"/>
      <c r="Z48" s="17"/>
      <c r="AA48" s="27"/>
      <c r="AB48" s="28"/>
    </row>
    <row r="49" spans="1:28" ht="14.85" customHeight="1">
      <c r="A49" s="26"/>
      <c r="B49" s="17"/>
      <c r="C49" s="27"/>
      <c r="D49" s="28"/>
      <c r="E49" s="26"/>
      <c r="F49" s="17"/>
      <c r="G49" s="27" t="s">
        <v>290</v>
      </c>
      <c r="H49" s="28"/>
      <c r="I49" s="26"/>
      <c r="J49" s="17"/>
      <c r="K49" s="27"/>
      <c r="L49" s="28"/>
      <c r="M49" s="26"/>
      <c r="N49" s="17"/>
      <c r="O49" s="27"/>
      <c r="P49" s="28"/>
      <c r="Q49" s="26"/>
      <c r="R49" s="17"/>
      <c r="S49" s="27"/>
      <c r="T49" s="28"/>
      <c r="U49" s="26"/>
      <c r="V49" s="17"/>
      <c r="W49" s="27"/>
      <c r="X49" s="28"/>
      <c r="Y49" s="26"/>
      <c r="Z49" s="17"/>
      <c r="AA49" s="27"/>
      <c r="AB49" s="28"/>
    </row>
    <row r="50" spans="1:28" ht="14.85" customHeight="1">
      <c r="A50" s="26"/>
      <c r="B50" s="17"/>
      <c r="C50" s="27"/>
      <c r="D50" s="28"/>
      <c r="E50" s="26"/>
      <c r="F50" s="17"/>
      <c r="G50" s="27" t="s">
        <v>291</v>
      </c>
      <c r="H50" s="28"/>
      <c r="I50" s="26"/>
      <c r="J50" s="17"/>
      <c r="K50" s="27"/>
      <c r="L50" s="28"/>
      <c r="M50" s="26"/>
      <c r="N50" s="17"/>
      <c r="O50" s="27"/>
      <c r="P50" s="28"/>
      <c r="Q50" s="26"/>
      <c r="R50" s="17"/>
      <c r="S50" s="27"/>
      <c r="T50" s="28"/>
      <c r="U50" s="26"/>
      <c r="V50" s="17"/>
      <c r="W50" s="27"/>
      <c r="X50" s="28"/>
      <c r="Y50" s="26"/>
      <c r="Z50" s="17"/>
      <c r="AA50" s="27"/>
      <c r="AB50" s="28"/>
    </row>
    <row r="51" spans="1:28" ht="14.85" customHeight="1">
      <c r="A51" s="26"/>
      <c r="B51" s="17"/>
      <c r="C51" s="27"/>
      <c r="D51" s="28"/>
      <c r="E51" s="26"/>
      <c r="F51" s="17"/>
      <c r="G51" s="27" t="s">
        <v>292</v>
      </c>
      <c r="H51" s="28"/>
      <c r="I51" s="26"/>
      <c r="J51" s="17"/>
      <c r="K51" s="27"/>
      <c r="L51" s="28"/>
      <c r="M51" s="26"/>
      <c r="N51" s="17"/>
      <c r="O51" s="27"/>
      <c r="P51" s="28"/>
      <c r="Q51" s="26"/>
      <c r="R51" s="17"/>
      <c r="S51" s="27"/>
      <c r="T51" s="28"/>
      <c r="U51" s="26"/>
      <c r="V51" s="17"/>
      <c r="W51" s="27"/>
      <c r="X51" s="28"/>
      <c r="Y51" s="26"/>
      <c r="Z51" s="17"/>
      <c r="AA51" s="27"/>
      <c r="AB51" s="28"/>
    </row>
    <row r="52" spans="1:28" ht="14.85" customHeight="1">
      <c r="A52" s="26"/>
      <c r="B52" s="17"/>
      <c r="C52" s="27"/>
      <c r="D52" s="28"/>
      <c r="E52" s="26"/>
      <c r="F52" s="17"/>
      <c r="G52" s="27" t="s">
        <v>293</v>
      </c>
      <c r="H52" s="28"/>
      <c r="I52" s="26"/>
      <c r="J52" s="17"/>
      <c r="K52" s="27"/>
      <c r="L52" s="28"/>
      <c r="M52" s="26"/>
      <c r="N52" s="17"/>
      <c r="O52" s="27"/>
      <c r="P52" s="28"/>
      <c r="Q52" s="26"/>
      <c r="R52" s="17"/>
      <c r="S52" s="27"/>
      <c r="T52" s="28"/>
      <c r="U52" s="26"/>
      <c r="V52" s="17"/>
      <c r="W52" s="27"/>
      <c r="X52" s="28"/>
      <c r="Y52" s="26"/>
      <c r="Z52" s="17"/>
      <c r="AA52" s="27"/>
      <c r="AB52" s="28"/>
    </row>
    <row r="53" spans="1:28" ht="14.85" customHeight="1">
      <c r="A53" s="26"/>
      <c r="B53" s="17"/>
      <c r="C53" s="27"/>
      <c r="D53" s="28"/>
      <c r="E53" s="26"/>
      <c r="F53" s="17"/>
      <c r="G53" s="27" t="s">
        <v>294</v>
      </c>
      <c r="H53" s="28"/>
      <c r="I53" s="26"/>
      <c r="J53" s="17"/>
      <c r="K53" s="27"/>
      <c r="L53" s="28"/>
      <c r="M53" s="26"/>
      <c r="N53" s="17"/>
      <c r="O53" s="27"/>
      <c r="P53" s="28"/>
      <c r="Q53" s="26"/>
      <c r="R53" s="17"/>
      <c r="S53" s="27"/>
      <c r="T53" s="28"/>
      <c r="U53" s="26"/>
      <c r="V53" s="17"/>
      <c r="W53" s="27"/>
      <c r="X53" s="28"/>
      <c r="Y53" s="26"/>
      <c r="Z53" s="17"/>
      <c r="AA53" s="27"/>
      <c r="AB53" s="28"/>
    </row>
    <row r="54" spans="1:28" ht="14.85" customHeight="1">
      <c r="A54" s="26"/>
      <c r="B54" s="17"/>
      <c r="C54" s="27"/>
      <c r="D54" s="28"/>
      <c r="E54" s="26"/>
      <c r="F54" s="17"/>
      <c r="G54" s="27"/>
      <c r="H54" s="28"/>
      <c r="I54" s="26"/>
      <c r="J54" s="17"/>
      <c r="K54" s="27"/>
      <c r="L54" s="28"/>
      <c r="M54" s="26"/>
      <c r="N54" s="17"/>
      <c r="O54" s="27"/>
      <c r="P54" s="28"/>
      <c r="Q54" s="26"/>
      <c r="R54" s="17"/>
      <c r="S54" s="27"/>
      <c r="T54" s="28"/>
      <c r="U54" s="26"/>
      <c r="V54" s="17"/>
      <c r="W54" s="27"/>
      <c r="X54" s="28"/>
      <c r="Y54" s="26"/>
      <c r="Z54" s="17"/>
      <c r="AA54" s="27"/>
      <c r="AB54" s="28"/>
    </row>
    <row r="55" spans="1:28" ht="14.85" customHeight="1">
      <c r="A55" s="26"/>
      <c r="B55" s="17"/>
      <c r="C55" s="27"/>
      <c r="D55" s="28"/>
      <c r="E55" s="26"/>
      <c r="F55" s="17"/>
      <c r="G55" s="27"/>
      <c r="H55" s="28"/>
      <c r="I55" s="26"/>
      <c r="J55" s="17"/>
      <c r="K55" s="27"/>
      <c r="L55" s="28"/>
      <c r="M55" s="26"/>
      <c r="N55" s="17"/>
      <c r="O55" s="27"/>
      <c r="P55" s="28"/>
      <c r="Q55" s="26"/>
      <c r="R55" s="17"/>
      <c r="S55" s="27"/>
      <c r="T55" s="28"/>
      <c r="U55" s="26"/>
      <c r="V55" s="17"/>
      <c r="W55" s="27"/>
      <c r="X55" s="28"/>
      <c r="Y55" s="26"/>
      <c r="Z55" s="17"/>
      <c r="AA55" s="27"/>
      <c r="AB55" s="28"/>
    </row>
    <row r="56" spans="1:28" ht="14.85" customHeight="1">
      <c r="A56" s="26"/>
      <c r="B56" s="17"/>
      <c r="C56" s="27"/>
      <c r="D56" s="28"/>
      <c r="E56" s="26"/>
      <c r="F56" s="17"/>
      <c r="G56" s="27"/>
      <c r="H56" s="28"/>
      <c r="I56" s="26"/>
      <c r="J56" s="17"/>
      <c r="K56" s="27"/>
      <c r="L56" s="28"/>
      <c r="M56" s="26"/>
      <c r="N56" s="17"/>
      <c r="O56" s="27"/>
      <c r="P56" s="28"/>
      <c r="Q56" s="26"/>
      <c r="R56" s="17"/>
      <c r="S56" s="27"/>
      <c r="T56" s="28"/>
      <c r="U56" s="26"/>
      <c r="V56" s="17"/>
      <c r="W56" s="27"/>
      <c r="X56" s="28"/>
      <c r="Y56" s="26"/>
      <c r="Z56" s="17"/>
      <c r="AA56" s="27"/>
      <c r="AB56" s="28"/>
    </row>
    <row r="57" spans="1:28" ht="14.85" customHeight="1">
      <c r="A57" s="26"/>
      <c r="B57" s="17"/>
      <c r="C57" s="27"/>
      <c r="D57" s="28"/>
      <c r="E57" s="26"/>
      <c r="F57" s="17"/>
      <c r="G57" s="27"/>
      <c r="H57" s="28"/>
      <c r="I57" s="26"/>
      <c r="J57" s="17"/>
      <c r="K57" s="27"/>
      <c r="L57" s="28"/>
      <c r="M57" s="26"/>
      <c r="N57" s="17"/>
      <c r="O57" s="27"/>
      <c r="P57" s="28"/>
      <c r="Q57" s="26"/>
      <c r="R57" s="17"/>
      <c r="S57" s="27"/>
      <c r="T57" s="28"/>
      <c r="U57" s="26"/>
      <c r="V57" s="17"/>
      <c r="W57" s="27"/>
      <c r="X57" s="28"/>
      <c r="Y57" s="26"/>
      <c r="Z57" s="17"/>
      <c r="AA57" s="27"/>
      <c r="AB57" s="28"/>
    </row>
    <row r="58" spans="1:28" ht="14.85" customHeight="1">
      <c r="A58" s="26"/>
      <c r="B58" s="17"/>
      <c r="C58" s="27"/>
      <c r="D58" s="28"/>
      <c r="E58" s="26"/>
      <c r="F58" s="17"/>
      <c r="G58" s="27"/>
      <c r="H58" s="28"/>
      <c r="I58" s="26"/>
      <c r="J58" s="17"/>
      <c r="K58" s="27"/>
      <c r="L58" s="28"/>
      <c r="M58" s="26"/>
      <c r="N58" s="17"/>
      <c r="O58" s="27"/>
      <c r="P58" s="28"/>
      <c r="Q58" s="26"/>
      <c r="R58" s="17"/>
      <c r="S58" s="27"/>
      <c r="T58" s="28"/>
      <c r="U58" s="26"/>
      <c r="V58" s="17"/>
      <c r="W58" s="27"/>
      <c r="X58" s="28"/>
      <c r="Y58" s="26"/>
      <c r="Z58" s="17"/>
      <c r="AA58" s="27"/>
      <c r="AB58" s="28"/>
    </row>
    <row r="59" spans="1:28" ht="14.85" customHeight="1">
      <c r="A59" s="26"/>
      <c r="B59" s="17"/>
      <c r="C59" s="27"/>
      <c r="D59" s="28"/>
      <c r="E59" s="26"/>
      <c r="F59" s="17"/>
      <c r="G59" s="27"/>
      <c r="H59" s="28"/>
      <c r="I59" s="26"/>
      <c r="J59" s="17"/>
      <c r="K59" s="27"/>
      <c r="L59" s="28"/>
      <c r="M59" s="26"/>
      <c r="N59" s="17"/>
      <c r="O59" s="27"/>
      <c r="P59" s="28"/>
      <c r="Q59" s="26"/>
      <c r="R59" s="17"/>
      <c r="S59" s="27"/>
      <c r="T59" s="28"/>
      <c r="U59" s="26"/>
      <c r="V59" s="17"/>
      <c r="W59" s="27"/>
      <c r="X59" s="28"/>
      <c r="Y59" s="26"/>
      <c r="Z59" s="17"/>
      <c r="AA59" s="27"/>
      <c r="AB59" s="28"/>
    </row>
    <row r="60" spans="1:28" ht="14.85" customHeight="1">
      <c r="A60" s="26"/>
      <c r="B60" s="17"/>
      <c r="C60" s="27"/>
      <c r="D60" s="28"/>
      <c r="E60" s="26"/>
      <c r="F60" s="17"/>
      <c r="G60" s="27"/>
      <c r="H60" s="28"/>
      <c r="I60" s="26"/>
      <c r="J60" s="17"/>
      <c r="K60" s="27"/>
      <c r="L60" s="28"/>
      <c r="M60" s="26"/>
      <c r="N60" s="17"/>
      <c r="O60" s="27"/>
      <c r="P60" s="28"/>
      <c r="Q60" s="26"/>
      <c r="R60" s="17"/>
      <c r="S60" s="27"/>
      <c r="T60" s="28"/>
      <c r="U60" s="26"/>
      <c r="V60" s="17"/>
      <c r="W60" s="27"/>
      <c r="X60" s="28"/>
      <c r="Y60" s="26"/>
      <c r="Z60" s="17"/>
      <c r="AA60" s="27"/>
      <c r="AB60" s="28"/>
    </row>
    <row r="61" spans="1:28" ht="14.85" customHeight="1">
      <c r="A61" s="26"/>
      <c r="B61" s="17"/>
      <c r="C61" s="27"/>
      <c r="D61" s="28"/>
      <c r="E61" s="26"/>
      <c r="F61" s="17"/>
      <c r="G61" s="27"/>
      <c r="H61" s="28"/>
      <c r="I61" s="26"/>
      <c r="J61" s="17"/>
      <c r="K61" s="27"/>
      <c r="L61" s="28"/>
      <c r="M61" s="26"/>
      <c r="N61" s="17"/>
      <c r="O61" s="27"/>
      <c r="P61" s="28"/>
      <c r="Q61" s="26"/>
      <c r="R61" s="17"/>
      <c r="S61" s="27"/>
      <c r="T61" s="28"/>
      <c r="U61" s="26"/>
      <c r="V61" s="17"/>
      <c r="W61" s="27"/>
      <c r="X61" s="28"/>
      <c r="Y61" s="26"/>
      <c r="Z61" s="17"/>
      <c r="AA61" s="27"/>
      <c r="AB61" s="28"/>
    </row>
    <row r="62" spans="1:28" ht="14.85" customHeight="1">
      <c r="A62" s="26"/>
      <c r="B62" s="17"/>
      <c r="C62" s="27"/>
      <c r="D62" s="28"/>
      <c r="E62" s="26"/>
      <c r="F62" s="17"/>
      <c r="G62" s="27"/>
      <c r="H62" s="28"/>
      <c r="I62" s="26"/>
      <c r="J62" s="17"/>
      <c r="K62" s="27"/>
      <c r="L62" s="28"/>
      <c r="M62" s="26"/>
      <c r="N62" s="17"/>
      <c r="O62" s="27"/>
      <c r="P62" s="28"/>
      <c r="Q62" s="26"/>
      <c r="R62" s="17"/>
      <c r="S62" s="27"/>
      <c r="T62" s="28"/>
      <c r="U62" s="26"/>
      <c r="V62" s="17"/>
      <c r="W62" s="27"/>
      <c r="X62" s="28"/>
      <c r="Y62" s="26"/>
      <c r="Z62" s="17"/>
      <c r="AA62" s="27"/>
      <c r="AB62" s="28"/>
    </row>
    <row r="63" spans="1:28" ht="14.85" customHeight="1">
      <c r="A63" s="26"/>
      <c r="B63" s="17"/>
      <c r="C63" s="27"/>
      <c r="D63" s="28"/>
      <c r="E63" s="26"/>
      <c r="F63" s="17"/>
      <c r="G63" s="27"/>
      <c r="H63" s="28"/>
      <c r="I63" s="26"/>
      <c r="J63" s="17"/>
      <c r="K63" s="27"/>
      <c r="L63" s="28"/>
      <c r="M63" s="26"/>
      <c r="N63" s="17"/>
      <c r="O63" s="27"/>
      <c r="P63" s="28"/>
      <c r="Q63" s="26"/>
      <c r="R63" s="17"/>
      <c r="S63" s="27"/>
      <c r="T63" s="28"/>
      <c r="U63" s="26"/>
      <c r="V63" s="17"/>
      <c r="W63" s="27"/>
      <c r="X63" s="28"/>
      <c r="Y63" s="26"/>
      <c r="Z63" s="17"/>
      <c r="AA63" s="27"/>
      <c r="AB63" s="28"/>
    </row>
    <row r="64" spans="1:28" ht="14.85" customHeight="1">
      <c r="A64" s="26"/>
      <c r="B64" s="17"/>
      <c r="C64" s="27"/>
      <c r="D64" s="28"/>
      <c r="E64" s="26"/>
      <c r="F64" s="17"/>
      <c r="G64" s="27"/>
      <c r="H64" s="28"/>
      <c r="I64" s="26"/>
      <c r="J64" s="17"/>
      <c r="K64" s="27"/>
      <c r="L64" s="28"/>
      <c r="M64" s="26"/>
      <c r="N64" s="17"/>
      <c r="O64" s="27"/>
      <c r="P64" s="28"/>
      <c r="Q64" s="26"/>
      <c r="R64" s="17"/>
      <c r="S64" s="27"/>
      <c r="T64" s="28"/>
      <c r="U64" s="26"/>
      <c r="V64" s="17"/>
      <c r="W64" s="27"/>
      <c r="X64" s="28"/>
      <c r="Y64" s="26"/>
      <c r="Z64" s="17"/>
      <c r="AA64" s="27"/>
      <c r="AB64" s="28"/>
    </row>
    <row r="65" spans="1:28" ht="14.85" customHeight="1">
      <c r="A65" s="26"/>
      <c r="B65" s="17"/>
      <c r="C65" s="27"/>
      <c r="D65" s="28"/>
      <c r="E65" s="26"/>
      <c r="F65" s="17"/>
      <c r="G65" s="27"/>
      <c r="H65" s="28"/>
      <c r="I65" s="26"/>
      <c r="J65" s="17"/>
      <c r="K65" s="27"/>
      <c r="L65" s="28"/>
      <c r="M65" s="26"/>
      <c r="N65" s="17"/>
      <c r="O65" s="27"/>
      <c r="P65" s="28"/>
      <c r="Q65" s="26"/>
      <c r="R65" s="17"/>
      <c r="S65" s="27"/>
      <c r="T65" s="28"/>
      <c r="U65" s="26"/>
      <c r="V65" s="17"/>
      <c r="W65" s="27"/>
      <c r="X65" s="28"/>
      <c r="Y65" s="26"/>
      <c r="Z65" s="17"/>
      <c r="AA65" s="27"/>
      <c r="AB65" s="28"/>
    </row>
    <row r="66" spans="1:28" ht="14.85" customHeight="1">
      <c r="A66" s="26"/>
      <c r="B66" s="17"/>
      <c r="C66" s="27"/>
      <c r="D66" s="28"/>
      <c r="E66" s="26"/>
      <c r="F66" s="17"/>
      <c r="G66" s="27"/>
      <c r="H66" s="28"/>
      <c r="I66" s="26"/>
      <c r="J66" s="17"/>
      <c r="K66" s="27"/>
      <c r="L66" s="28"/>
      <c r="M66" s="26"/>
      <c r="N66" s="17"/>
      <c r="O66" s="27"/>
      <c r="P66" s="28"/>
      <c r="Q66" s="26"/>
      <c r="R66" s="17"/>
      <c r="S66" s="27"/>
      <c r="T66" s="28"/>
      <c r="U66" s="26"/>
      <c r="V66" s="17"/>
      <c r="W66" s="27"/>
      <c r="X66" s="28"/>
      <c r="Y66" s="26"/>
      <c r="Z66" s="17"/>
      <c r="AA66" s="27"/>
      <c r="AB66" s="28"/>
    </row>
    <row r="67" spans="1:28" ht="14.85" customHeight="1">
      <c r="A67" s="26"/>
      <c r="B67" s="17"/>
      <c r="C67" s="27"/>
      <c r="D67" s="28"/>
      <c r="E67" s="26"/>
      <c r="F67" s="17"/>
      <c r="G67" s="27"/>
      <c r="H67" s="28"/>
      <c r="I67" s="26"/>
      <c r="J67" s="17"/>
      <c r="K67" s="27"/>
      <c r="L67" s="28"/>
      <c r="M67" s="26"/>
      <c r="N67" s="17"/>
      <c r="O67" s="27"/>
      <c r="P67" s="28"/>
      <c r="Q67" s="26"/>
      <c r="R67" s="17"/>
      <c r="S67" s="27"/>
      <c r="T67" s="28"/>
      <c r="U67" s="26"/>
      <c r="V67" s="17"/>
      <c r="W67" s="27"/>
      <c r="X67" s="28"/>
      <c r="Y67" s="26"/>
      <c r="Z67" s="17"/>
      <c r="AA67" s="27"/>
      <c r="AB67" s="28"/>
    </row>
    <row r="68" spans="1:28" ht="14.85" customHeight="1">
      <c r="A68" s="26"/>
      <c r="B68" s="17"/>
      <c r="C68" s="27"/>
      <c r="D68" s="28"/>
      <c r="E68" s="26"/>
      <c r="F68" s="17"/>
      <c r="G68" s="27"/>
      <c r="H68" s="28"/>
      <c r="I68" s="26"/>
      <c r="J68" s="17"/>
      <c r="K68" s="27"/>
      <c r="L68" s="28"/>
      <c r="M68" s="26"/>
      <c r="N68" s="17"/>
      <c r="O68" s="27"/>
      <c r="P68" s="28"/>
      <c r="Q68" s="26"/>
      <c r="R68" s="17"/>
      <c r="S68" s="27"/>
      <c r="T68" s="28"/>
      <c r="U68" s="26"/>
      <c r="V68" s="17"/>
      <c r="W68" s="27"/>
      <c r="X68" s="28"/>
      <c r="Y68" s="26"/>
      <c r="Z68" s="17"/>
      <c r="AA68" s="27"/>
      <c r="AB68" s="28"/>
    </row>
    <row r="69" spans="1:28" ht="14.85" customHeight="1">
      <c r="A69" s="26"/>
      <c r="B69" s="17"/>
      <c r="C69" s="27"/>
      <c r="D69" s="28"/>
      <c r="E69" s="26"/>
      <c r="F69" s="17"/>
      <c r="G69" s="27"/>
      <c r="H69" s="28"/>
      <c r="I69" s="26"/>
      <c r="J69" s="17"/>
      <c r="K69" s="27"/>
      <c r="L69" s="28"/>
      <c r="M69" s="26"/>
      <c r="N69" s="17"/>
      <c r="O69" s="27"/>
      <c r="P69" s="28"/>
      <c r="Q69" s="26"/>
      <c r="R69" s="17"/>
      <c r="S69" s="27"/>
      <c r="T69" s="28"/>
      <c r="U69" s="26"/>
      <c r="V69" s="17"/>
      <c r="W69" s="27"/>
      <c r="X69" s="28"/>
      <c r="Y69" s="26"/>
      <c r="Z69" s="17"/>
      <c r="AA69" s="27"/>
      <c r="AB69" s="28"/>
    </row>
    <row r="70" spans="1:28" ht="14.85" customHeight="1">
      <c r="A70" s="26"/>
      <c r="B70" s="17"/>
      <c r="C70" s="27"/>
      <c r="D70" s="28"/>
      <c r="E70" s="26"/>
      <c r="F70" s="17"/>
      <c r="G70" s="27"/>
      <c r="H70" s="28"/>
      <c r="I70" s="26"/>
      <c r="J70" s="17"/>
      <c r="K70" s="27"/>
      <c r="L70" s="28"/>
      <c r="M70" s="26"/>
      <c r="N70" s="17"/>
      <c r="O70" s="27"/>
      <c r="P70" s="28"/>
      <c r="Q70" s="26"/>
      <c r="R70" s="17"/>
      <c r="S70" s="27"/>
      <c r="T70" s="28"/>
      <c r="U70" s="26"/>
      <c r="V70" s="17"/>
      <c r="W70" s="27"/>
      <c r="X70" s="28"/>
      <c r="Y70" s="26"/>
      <c r="Z70" s="17"/>
      <c r="AA70" s="27"/>
      <c r="AB70" s="28"/>
    </row>
    <row r="71" spans="1:28" ht="14.85" customHeight="1">
      <c r="A71" s="26"/>
      <c r="B71" s="17"/>
      <c r="C71" s="27"/>
      <c r="D71" s="28"/>
      <c r="E71" s="26"/>
      <c r="F71" s="17"/>
      <c r="G71" s="27"/>
      <c r="H71" s="28"/>
      <c r="I71" s="26"/>
      <c r="J71" s="17"/>
      <c r="K71" s="27"/>
      <c r="L71" s="28"/>
      <c r="M71" s="26"/>
      <c r="N71" s="17"/>
      <c r="O71" s="27"/>
      <c r="P71" s="28"/>
      <c r="Q71" s="26"/>
      <c r="R71" s="17"/>
      <c r="S71" s="27"/>
      <c r="T71" s="28"/>
      <c r="U71" s="26"/>
      <c r="V71" s="17"/>
      <c r="W71" s="27"/>
      <c r="X71" s="28"/>
      <c r="Y71" s="26"/>
      <c r="Z71" s="17"/>
      <c r="AA71" s="27"/>
      <c r="AB71" s="28"/>
    </row>
    <row r="72" spans="1:28" ht="14.85" customHeight="1">
      <c r="A72" s="26"/>
      <c r="B72" s="17"/>
      <c r="C72" s="27"/>
      <c r="D72" s="28"/>
      <c r="E72" s="26"/>
      <c r="F72" s="17"/>
      <c r="G72" s="27"/>
      <c r="H72" s="28"/>
      <c r="I72" s="26"/>
      <c r="J72" s="17"/>
      <c r="K72" s="27"/>
      <c r="L72" s="28"/>
      <c r="M72" s="26"/>
      <c r="N72" s="17"/>
      <c r="O72" s="27"/>
      <c r="P72" s="28"/>
      <c r="Q72" s="26"/>
      <c r="R72" s="17"/>
      <c r="S72" s="27"/>
      <c r="T72" s="28"/>
      <c r="U72" s="26"/>
      <c r="V72" s="17"/>
      <c r="W72" s="27"/>
      <c r="X72" s="28"/>
      <c r="Y72" s="26"/>
      <c r="Z72" s="17"/>
      <c r="AA72" s="27"/>
      <c r="AB72" s="28"/>
    </row>
    <row r="73" spans="1:28" ht="14.85" customHeight="1">
      <c r="A73" s="26"/>
      <c r="B73" s="17"/>
      <c r="C73" s="27"/>
      <c r="D73" s="28"/>
      <c r="E73" s="26"/>
      <c r="F73" s="17"/>
      <c r="G73" s="27"/>
      <c r="H73" s="28"/>
      <c r="I73" s="26"/>
      <c r="J73" s="17"/>
      <c r="K73" s="27"/>
      <c r="L73" s="28"/>
      <c r="M73" s="26"/>
      <c r="N73" s="17"/>
      <c r="O73" s="27"/>
      <c r="P73" s="28"/>
      <c r="Q73" s="26"/>
      <c r="R73" s="17"/>
      <c r="S73" s="27"/>
      <c r="T73" s="28"/>
      <c r="U73" s="26"/>
      <c r="V73" s="17"/>
      <c r="W73" s="27"/>
      <c r="X73" s="28"/>
      <c r="Y73" s="26"/>
      <c r="Z73" s="17"/>
      <c r="AA73" s="27"/>
      <c r="AB73" s="28"/>
    </row>
    <row r="74" spans="1:28" ht="14.85" customHeight="1">
      <c r="A74" s="26"/>
      <c r="B74" s="17"/>
      <c r="C74" s="27"/>
      <c r="D74" s="28"/>
      <c r="E74" s="26"/>
      <c r="F74" s="17"/>
      <c r="G74" s="27"/>
      <c r="H74" s="28"/>
      <c r="I74" s="26"/>
      <c r="J74" s="17"/>
      <c r="K74" s="27"/>
      <c r="L74" s="28"/>
      <c r="M74" s="26"/>
      <c r="N74" s="17"/>
      <c r="O74" s="27"/>
      <c r="P74" s="28"/>
      <c r="Q74" s="26"/>
      <c r="R74" s="17"/>
      <c r="S74" s="27"/>
      <c r="T74" s="28"/>
      <c r="U74" s="26"/>
      <c r="V74" s="17"/>
      <c r="W74" s="27"/>
      <c r="X74" s="28"/>
      <c r="Y74" s="26"/>
      <c r="Z74" s="17"/>
      <c r="AA74" s="27"/>
      <c r="AB74" s="28"/>
    </row>
    <row r="75" spans="1:28" ht="14.85" customHeight="1">
      <c r="A75" s="26"/>
      <c r="B75" s="17"/>
      <c r="C75" s="27"/>
      <c r="D75" s="28"/>
      <c r="E75" s="26"/>
      <c r="F75" s="17"/>
      <c r="G75" s="27"/>
      <c r="H75" s="28"/>
      <c r="I75" s="26"/>
      <c r="J75" s="17"/>
      <c r="K75" s="27"/>
      <c r="L75" s="28"/>
      <c r="M75" s="26"/>
      <c r="N75" s="17"/>
      <c r="O75" s="27"/>
      <c r="P75" s="28"/>
      <c r="Q75" s="26"/>
      <c r="R75" s="17"/>
      <c r="S75" s="27"/>
      <c r="T75" s="28"/>
      <c r="U75" s="26"/>
      <c r="V75" s="17"/>
      <c r="W75" s="27"/>
      <c r="X75" s="28"/>
      <c r="Y75" s="26"/>
      <c r="Z75" s="17"/>
      <c r="AA75" s="27"/>
      <c r="AB75" s="28"/>
    </row>
    <row r="76" spans="1:28" ht="14.85" customHeight="1">
      <c r="A76" s="26"/>
      <c r="B76" s="17"/>
      <c r="C76" s="27"/>
      <c r="D76" s="28"/>
      <c r="E76" s="26"/>
      <c r="F76" s="17"/>
      <c r="G76" s="27"/>
      <c r="H76" s="28"/>
      <c r="I76" s="26"/>
      <c r="J76" s="17"/>
      <c r="K76" s="27"/>
      <c r="L76" s="28"/>
      <c r="M76" s="26"/>
      <c r="N76" s="17"/>
      <c r="O76" s="27"/>
      <c r="P76" s="28"/>
      <c r="Q76" s="26"/>
      <c r="R76" s="17"/>
      <c r="S76" s="27"/>
      <c r="T76" s="28"/>
      <c r="U76" s="26"/>
      <c r="V76" s="17"/>
      <c r="W76" s="27"/>
      <c r="X76" s="28"/>
      <c r="Y76" s="26"/>
      <c r="Z76" s="17"/>
      <c r="AA76" s="27"/>
      <c r="AB76" s="28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14.8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14.8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14.8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14.8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14.8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14.8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14.8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14.8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ht="14.8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14.8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14.8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14.8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14.8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14.8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14.8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14.8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14.8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14.8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14.8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14.8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14.8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14.8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14.8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14.8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14.8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14.8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14.8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ht="14.8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ht="14.8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14.8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14.8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 ht="14.8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ht="14.8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ht="14.8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ht="14.8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 ht="14.8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ht="14.8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ht="14.8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 ht="14.8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 ht="14.8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 ht="14.8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 ht="14.8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 ht="14.8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 ht="14.8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spans="1:28" ht="14.8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 ht="14.8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 ht="14.8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 ht="14.8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ht="14.8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ht="14.8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 ht="14.8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 ht="14.8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ht="14.8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spans="1:28" ht="14.8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 ht="14.8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 ht="14.8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 ht="14.8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 ht="14.8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 ht="14.8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ht="14.8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ht="14.8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 ht="14.8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spans="1:28" ht="14.8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 ht="14.8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 ht="14.8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 ht="14.8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 ht="14.8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ht="14.8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 ht="14.8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ht="14.8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ht="14.8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spans="1:28" ht="14.8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 ht="14.8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 ht="14.8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 ht="14.8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 ht="14.8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ht="14.8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 ht="14.8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ht="14.8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 ht="14.8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spans="1:28" ht="14.8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 ht="14.8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ht="14.8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 ht="14.8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 ht="14.8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 ht="14.8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 ht="14.8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 ht="14.8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 ht="14.8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spans="1:28" ht="14.8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 ht="14.8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 ht="14.8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 ht="14.8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 ht="14.8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 ht="14.8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 ht="14.8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 ht="14.8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 ht="14.8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28" ht="14.8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 ht="14.8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 ht="14.8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ht="14.8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14.8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ht="14.8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ht="14.8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14.8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ht="14.8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spans="1:28" ht="14.8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 ht="14.8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 ht="14.8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spans="1:28" ht="14.8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spans="1:28" ht="14.8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spans="1:28" ht="14.8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spans="1:28" ht="14.8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spans="1:28" ht="14.8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spans="1:28" ht="14.8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spans="1:28" ht="14.8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spans="1:28" ht="14.8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spans="1:28" ht="14.8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spans="1:28" ht="14.8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spans="1:28" ht="14.8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spans="1:28" ht="14.8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spans="1:28" ht="14.8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spans="1:28" ht="14.8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 ht="14.8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spans="1:28" ht="14.8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 ht="14.8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spans="1:28" ht="14.8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spans="1:28" ht="14.8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spans="1:28" ht="14.8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spans="1:28" ht="14.8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spans="1:28" ht="14.8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spans="1:28" ht="14.8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spans="1:28" ht="14.8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spans="1:28" ht="14.8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spans="1:28" ht="14.8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spans="1:28" ht="14.8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spans="1:28" ht="14.8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spans="1:28" ht="14.8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spans="1:28" ht="14.8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spans="1:28" ht="14.8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spans="1:28" ht="14.8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spans="1:28" ht="14.8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spans="1:28" ht="14.8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spans="1:28" ht="14.8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spans="1:28" ht="14.8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spans="1:28" ht="14.8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spans="1:28" ht="14.8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spans="1:28" ht="14.8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spans="1:28" ht="14.8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spans="1:28" ht="14.8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spans="1:28" ht="14.8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spans="1:28" ht="14.8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spans="1:28" ht="14.8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spans="1:28" ht="14.8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spans="1:28" ht="14.8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spans="1:28" ht="14.8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spans="1:28" ht="14.8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spans="1:28" ht="14.8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spans="1:28" ht="14.8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 ht="14.8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spans="1:28" ht="14.8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 ht="14.8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spans="1:28" ht="14.8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spans="1:28" ht="14.8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spans="1:28" ht="14.8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spans="1:28" ht="14.8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spans="1:28" ht="14.8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spans="1:28" ht="14.8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spans="1:28" ht="14.8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spans="1:28" ht="14.8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spans="1:28" ht="14.8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spans="1:28" ht="14.8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spans="1:28" ht="14.8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spans="1:28" ht="14.8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spans="1:28" ht="14.8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spans="1:28" ht="14.8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spans="1:28" ht="14.8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spans="1:28" ht="14.8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spans="1:28" ht="14.8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spans="1:28" ht="14.8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spans="1:28" ht="14.8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spans="1:28" ht="14.8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spans="1:28" ht="14.8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spans="1:28" ht="14.8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spans="1:28" ht="14.8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spans="1:28" ht="14.8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spans="1:28" ht="14.8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spans="1:28" ht="14.8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spans="1:28" ht="14.8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spans="1:28" ht="14.8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spans="1:28" ht="14.8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spans="1:28" ht="14.8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spans="1:28" ht="14.8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spans="1:28" ht="14.8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spans="1:28" ht="14.8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spans="1:28" ht="14.8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spans="1:28" ht="14.8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spans="1:28" ht="14.8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 ht="14.8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spans="1:28" ht="14.8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 ht="14.8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spans="1:28" ht="14.8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spans="1:28" ht="14.8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spans="1:28" ht="14.8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spans="1:28" ht="14.8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 ht="14.8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spans="1:28" ht="14.8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 ht="14.8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spans="1:28" ht="14.8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spans="1:28" ht="14.8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 ht="14.8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spans="1:28" ht="14.8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 ht="14.8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spans="1:28" ht="14.8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 ht="14.8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spans="1:28" ht="14.8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 ht="14.8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spans="1:28" ht="14.8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 ht="14.8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spans="1:28" ht="14.8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 ht="14.8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spans="1:28" ht="14.8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 ht="14.8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spans="1:28" ht="14.8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 ht="14.8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spans="1:28" ht="14.8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spans="1:28" ht="14.8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spans="1:28" ht="14.8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 ht="14.8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spans="1:28" ht="14.8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 ht="14.8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spans="1:28" ht="14.8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spans="1:28" ht="14.8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ht="14.8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spans="1:28" ht="14.8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 ht="14.8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spans="1:28" ht="14.8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spans="1:28" ht="14.8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 ht="14.8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spans="1:28" ht="14.8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ht="14.8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 ht="14.8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 ht="14.8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 ht="14.8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 ht="14.8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 ht="14.8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 ht="14.8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 ht="14.8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 ht="14.8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 ht="14.8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 ht="14.8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 ht="14.8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 ht="14.8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spans="1:28" ht="14.8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spans="1:28" ht="14.8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spans="1:28" ht="14.8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spans="1:28" ht="14.8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spans="1:28" ht="14.8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spans="1:28" ht="14.8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spans="1:28" ht="14.8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spans="1:28" ht="14.8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spans="1:28" ht="14.8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spans="1:28" ht="14.8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spans="1:28" ht="14.8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spans="1:28" ht="14.8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spans="1:28" ht="14.8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spans="1:28" ht="14.8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spans="1:28" ht="14.8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spans="1:28" ht="14.8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spans="1:28" ht="14.8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spans="1:28" ht="14.8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spans="1:28" ht="14.8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spans="1:28" ht="14.8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spans="1:28" ht="14.8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spans="1:28" ht="14.8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spans="1:28" ht="14.8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spans="1:28" ht="14.8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spans="1:28" ht="14.8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spans="1:28" ht="14.8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spans="1:28" ht="14.8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spans="1:28" ht="14.8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spans="1:28" ht="14.8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spans="1:28" ht="14.8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spans="1:28" ht="14.8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spans="1:28" ht="14.8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spans="1:28" ht="14.8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spans="1:28" ht="14.8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spans="1:28" ht="14.8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spans="1:28" ht="14.8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spans="1:28" ht="14.8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spans="1:28" ht="14.8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spans="1:28" ht="14.8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spans="1:28" ht="14.8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spans="1:28" ht="14.8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spans="1:28" ht="14.8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spans="1:28" ht="14.8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spans="1:28" ht="14.8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spans="1:28" ht="14.8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spans="1:28" ht="14.8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spans="1:28" ht="14.8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spans="1:28" ht="14.8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spans="1:28" ht="14.8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spans="1:28" ht="14.8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spans="1:28" ht="14.8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spans="1:28" ht="14.8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spans="1:28" ht="14.8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spans="1:28" ht="14.8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spans="1:28" ht="14.8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spans="1:28" ht="14.8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spans="1:28" ht="14.8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spans="1:28" ht="14.8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spans="1:28" ht="14.8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spans="1:28" ht="14.8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spans="1:28" ht="14.8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spans="1:28" ht="14.8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spans="1:28" ht="14.8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spans="1:28" ht="14.8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spans="1:28" ht="14.8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spans="1:28" ht="14.8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spans="1:28" ht="14.8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spans="1:28" ht="14.8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spans="1:28" ht="14.8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spans="1:28" ht="14.8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spans="1:28" ht="14.8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spans="1:28" ht="14.8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spans="1:28" ht="14.8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spans="1:28" ht="14.8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spans="1:28" ht="14.8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spans="1:28" ht="14.8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spans="1:28" ht="14.8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spans="1:28" ht="14.8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spans="1:28" ht="14.8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spans="1:28" ht="14.8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spans="1:28" ht="14.8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spans="1:28" ht="14.8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spans="1:28" ht="14.8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spans="1:28" ht="14.8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spans="1:28" ht="14.8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spans="1:28" ht="14.8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spans="1:28" ht="14.8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spans="1:28" ht="14.8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spans="1:28" ht="14.8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spans="1:28" ht="14.8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spans="1:28" ht="14.8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spans="1:28" ht="14.8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spans="1:28" ht="14.8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spans="1:28" ht="14.8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spans="1:28" ht="14.8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spans="1:28" ht="14.8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spans="1:28" ht="14.8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spans="1:28" ht="14.8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spans="1:28" ht="14.8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spans="1:28" ht="14.8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spans="1:28" ht="14.8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spans="1:28" ht="14.8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spans="1:28" ht="14.8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spans="1:28" ht="14.8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spans="1:28" ht="14.8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spans="1:28" ht="14.8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spans="1:28" ht="14.8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spans="1:28" ht="14.8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spans="1:28" ht="14.8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spans="1:28" ht="14.8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spans="1:28" ht="14.8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spans="1:28" ht="14.8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spans="1:28" ht="14.8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spans="1:28" ht="14.8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spans="1:28" ht="14.8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spans="1:28" ht="14.8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spans="1:28" ht="14.8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spans="1:28" ht="14.8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spans="1:28" ht="14.8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spans="1:28" ht="14.8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spans="1:28" ht="14.8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spans="1:28" ht="14.8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spans="1:28" ht="14.8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spans="1:28" ht="14.8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spans="1:28" ht="14.8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spans="1:28" ht="14.8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spans="1:28" ht="14.8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spans="1:28" ht="14.8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spans="1:28" ht="14.8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spans="1:28" ht="14.8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spans="1:28" ht="14.8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spans="1:28" ht="14.8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spans="1:28" ht="14.8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spans="1:28" ht="14.8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spans="1:28" ht="14.8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spans="1:28" ht="14.8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spans="1:28" ht="14.8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spans="1:28" ht="14.8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spans="1:28" ht="14.8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spans="1:28" ht="14.8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spans="1:28" ht="14.8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spans="1:28" ht="14.8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spans="1:28" ht="14.8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spans="1:28" ht="14.8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spans="1:28" ht="14.8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spans="1:28" ht="14.8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spans="1:28" ht="14.8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spans="1:28" ht="14.8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spans="1:28" ht="14.8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spans="1:28" ht="14.8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spans="1:28" ht="14.8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spans="1:28" ht="14.8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spans="1:28" ht="14.8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spans="1:28" ht="14.8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spans="1:28" ht="14.8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spans="1:28" ht="14.8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spans="1:28" ht="14.8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spans="1:28" ht="14.8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spans="1:28" ht="14.8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</sheetData>
  <mergeCells count="3">
    <mergeCell ref="A1:B1"/>
    <mergeCell ref="D1:E1"/>
    <mergeCell ref="H1:K1"/>
  </mergeCells>
  <dataValidations count="1">
    <dataValidation type="list" allowBlank="1" showInputMessage="1" showErrorMessage="1" sqref="G1" xr:uid="{2B905E68-1AE2-4CF2-ABA5-A03489527AC6}">
      <formula1>$G$43:$G$53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AF55-D17F-4A15-A653-C86B05064C11}">
  <dimension ref="A1:F281"/>
  <sheetViews>
    <sheetView tabSelected="1" workbookViewId="0">
      <selection activeCell="A3" sqref="A3"/>
    </sheetView>
  </sheetViews>
  <sheetFormatPr defaultRowHeight="16.5"/>
  <cols>
    <col min="1" max="1" width="18.125" style="34" customWidth="1"/>
    <col min="2" max="3" width="13" style="34" customWidth="1"/>
    <col min="4" max="4" width="12" style="34" customWidth="1"/>
    <col min="5" max="5" width="11.625" style="34" customWidth="1"/>
    <col min="6" max="6" width="10.5" style="34" customWidth="1"/>
  </cols>
  <sheetData>
    <row r="1" spans="1:6" ht="42" customHeight="1">
      <c r="A1" s="33" t="s">
        <v>295</v>
      </c>
      <c r="B1" s="33"/>
      <c r="C1" s="33"/>
      <c r="D1" s="34" t="str">
        <f>摸底成績!G1</f>
        <v>英讀</v>
      </c>
    </row>
    <row r="2" spans="1:6" ht="31.5">
      <c r="A2" s="35" t="s">
        <v>4</v>
      </c>
      <c r="B2" s="35" t="s">
        <v>5</v>
      </c>
      <c r="C2" s="35" t="s">
        <v>296</v>
      </c>
      <c r="D2" s="35" t="s">
        <v>297</v>
      </c>
      <c r="E2" s="36" t="s">
        <v>7</v>
      </c>
      <c r="F2" s="37" t="s">
        <v>298</v>
      </c>
    </row>
    <row r="3" spans="1:6">
      <c r="A3" s="38">
        <f>摸底成績!A4</f>
        <v>20210198</v>
      </c>
      <c r="B3" s="38">
        <f>摸底成績!B4</f>
        <v>1</v>
      </c>
      <c r="C3" s="36" t="s">
        <v>6</v>
      </c>
      <c r="D3" s="38" t="str">
        <f>摸底成績!C4</f>
        <v>卜啟韜</v>
      </c>
      <c r="E3" s="38">
        <f>摸底成績!D4</f>
        <v>41.5</v>
      </c>
      <c r="F3" s="20"/>
    </row>
    <row r="4" spans="1:6">
      <c r="A4" s="38">
        <f>摸底成績!A5</f>
        <v>20230214</v>
      </c>
      <c r="B4" s="38">
        <f>摸底成績!B5</f>
        <v>2</v>
      </c>
      <c r="C4" s="36" t="s">
        <v>6</v>
      </c>
      <c r="D4" s="38" t="str">
        <f>摸底成績!C5</f>
        <v>尤鉑霖</v>
      </c>
      <c r="E4" s="38">
        <f>摸底成績!D5</f>
        <v>51</v>
      </c>
      <c r="F4" s="20"/>
    </row>
    <row r="5" spans="1:6">
      <c r="A5" s="38">
        <f>摸底成績!A6</f>
        <v>20190086</v>
      </c>
      <c r="B5" s="38">
        <f>摸底成績!B6</f>
        <v>3</v>
      </c>
      <c r="C5" s="36" t="s">
        <v>299</v>
      </c>
      <c r="D5" s="38" t="str">
        <f>摸底成績!C6</f>
        <v>尹智成</v>
      </c>
      <c r="E5" s="38">
        <f>摸底成績!D6</f>
        <v>63</v>
      </c>
      <c r="F5" s="20"/>
    </row>
    <row r="6" spans="1:6">
      <c r="A6" s="38">
        <f>摸底成績!A7</f>
        <v>20230295</v>
      </c>
      <c r="B6" s="38">
        <f>摸底成績!B7</f>
        <v>4</v>
      </c>
      <c r="C6" s="36" t="s">
        <v>299</v>
      </c>
      <c r="D6" s="38" t="str">
        <f>摸底成績!C7</f>
        <v>王清晨</v>
      </c>
      <c r="E6" s="38">
        <f>摸底成績!D7</f>
        <v>88.5</v>
      </c>
      <c r="F6" s="20"/>
    </row>
    <row r="7" spans="1:6">
      <c r="A7" s="38">
        <f>摸底成績!A8</f>
        <v>20220187</v>
      </c>
      <c r="B7" s="38">
        <f>摸底成績!B8</f>
        <v>5</v>
      </c>
      <c r="C7" s="36" t="s">
        <v>299</v>
      </c>
      <c r="D7" s="38" t="str">
        <f>摸底成績!C8</f>
        <v>何彥林</v>
      </c>
      <c r="E7" s="38">
        <f>摸底成績!D8</f>
        <v>72</v>
      </c>
      <c r="F7" s="20"/>
    </row>
    <row r="8" spans="1:6">
      <c r="A8" s="38">
        <f>摸底成績!A9</f>
        <v>20133010</v>
      </c>
      <c r="B8" s="38">
        <f>摸底成績!B9</f>
        <v>6</v>
      </c>
      <c r="C8" s="36" t="s">
        <v>299</v>
      </c>
      <c r="D8" s="38" t="str">
        <f>摸底成績!C9</f>
        <v>何詠宜</v>
      </c>
      <c r="E8" s="38">
        <f>摸底成績!D9</f>
        <v>56.5</v>
      </c>
      <c r="F8" s="20"/>
    </row>
    <row r="9" spans="1:6">
      <c r="A9" s="38">
        <f>摸底成績!A10</f>
        <v>20220081</v>
      </c>
      <c r="B9" s="38">
        <f>摸底成績!B10</f>
        <v>7</v>
      </c>
      <c r="C9" s="36" t="s">
        <v>299</v>
      </c>
      <c r="D9" s="38" t="str">
        <f>摸底成績!C10</f>
        <v>吳宇施</v>
      </c>
      <c r="E9" s="38">
        <f>摸底成績!D10</f>
        <v>72</v>
      </c>
      <c r="F9" s="20"/>
    </row>
    <row r="10" spans="1:6">
      <c r="A10" s="38">
        <f>摸底成績!A11</f>
        <v>20190179</v>
      </c>
      <c r="B10" s="38">
        <f>摸底成績!B11</f>
        <v>8</v>
      </c>
      <c r="C10" s="36" t="s">
        <v>299</v>
      </c>
      <c r="D10" s="38" t="str">
        <f>摸底成績!C11</f>
        <v>吳東濠</v>
      </c>
      <c r="E10" s="38">
        <f>摸底成績!D11</f>
        <v>81.5</v>
      </c>
      <c r="F10" s="20"/>
    </row>
    <row r="11" spans="1:6">
      <c r="A11" s="38">
        <f>摸底成績!A12</f>
        <v>20190009</v>
      </c>
      <c r="B11" s="38">
        <f>摸底成績!B12</f>
        <v>9</v>
      </c>
      <c r="C11" s="36" t="s">
        <v>299</v>
      </c>
      <c r="D11" s="38" t="str">
        <f>摸底成績!C12</f>
        <v>吳俊君</v>
      </c>
      <c r="E11" s="38">
        <f>摸底成績!D12</f>
        <v>63</v>
      </c>
      <c r="F11" s="20"/>
    </row>
    <row r="12" spans="1:6">
      <c r="A12" s="38">
        <f>摸底成績!A13</f>
        <v>20153119</v>
      </c>
      <c r="B12" s="38">
        <f>摸底成績!B13</f>
        <v>10</v>
      </c>
      <c r="C12" s="36" t="s">
        <v>299</v>
      </c>
      <c r="D12" s="38" t="str">
        <f>摸底成績!C13</f>
        <v>李杰成</v>
      </c>
      <c r="E12" s="38">
        <f>摸底成績!D13</f>
        <v>41</v>
      </c>
      <c r="F12" s="20"/>
    </row>
    <row r="13" spans="1:6">
      <c r="A13" s="38">
        <f>摸底成績!A14</f>
        <v>20220219</v>
      </c>
      <c r="B13" s="38">
        <f>摸底成績!B14</f>
        <v>11</v>
      </c>
      <c r="C13" s="36" t="s">
        <v>299</v>
      </c>
      <c r="D13" s="38" t="str">
        <f>摸底成績!C14</f>
        <v>李遠航</v>
      </c>
      <c r="E13" s="38">
        <f>摸底成績!D14</f>
        <v>74.5</v>
      </c>
      <c r="F13" s="20"/>
    </row>
    <row r="14" spans="1:6">
      <c r="A14" s="38">
        <f>摸底成績!A15</f>
        <v>20190044</v>
      </c>
      <c r="B14" s="38">
        <f>摸底成績!B15</f>
        <v>12</v>
      </c>
      <c r="C14" s="36" t="s">
        <v>299</v>
      </c>
      <c r="D14" s="38" t="str">
        <f>摸底成績!C15</f>
        <v>杜珮瑩</v>
      </c>
      <c r="E14" s="38">
        <f>摸底成績!D15</f>
        <v>38</v>
      </c>
      <c r="F14" s="20"/>
    </row>
    <row r="15" spans="1:6">
      <c r="A15" s="38">
        <f>摸底成績!A16</f>
        <v>20230347</v>
      </c>
      <c r="B15" s="38">
        <f>摸底成績!B16</f>
        <v>13</v>
      </c>
      <c r="C15" s="36" t="s">
        <v>299</v>
      </c>
      <c r="D15" s="38" t="str">
        <f>摸底成績!C16</f>
        <v>林子莉</v>
      </c>
      <c r="E15" s="38">
        <f>摸底成績!D16</f>
        <v>78</v>
      </c>
      <c r="F15" s="20"/>
    </row>
    <row r="16" spans="1:6">
      <c r="A16" s="38">
        <f>摸底成績!A17</f>
        <v>20163038</v>
      </c>
      <c r="B16" s="38">
        <f>摸底成績!B17</f>
        <v>14</v>
      </c>
      <c r="C16" s="36" t="s">
        <v>299</v>
      </c>
      <c r="D16" s="38" t="str">
        <f>摸底成績!C17</f>
        <v>容國翔</v>
      </c>
      <c r="E16" s="38">
        <f>摸底成績!D17</f>
        <v>90</v>
      </c>
      <c r="F16" s="20"/>
    </row>
    <row r="17" spans="1:6">
      <c r="A17" s="38">
        <f>摸底成績!A18</f>
        <v>20220144</v>
      </c>
      <c r="B17" s="38">
        <f>摸底成績!B18</f>
        <v>15</v>
      </c>
      <c r="C17" s="36" t="s">
        <v>299</v>
      </c>
      <c r="D17" s="38" t="str">
        <f>摸底成績!C18</f>
        <v>徐佩杰</v>
      </c>
      <c r="E17" s="38">
        <f>摸底成績!D18</f>
        <v>84.5</v>
      </c>
      <c r="F17" s="20"/>
    </row>
    <row r="18" spans="1:6">
      <c r="A18" s="38">
        <f>摸底成績!A19</f>
        <v>20210197</v>
      </c>
      <c r="B18" s="38">
        <f>摸底成績!B19</f>
        <v>16</v>
      </c>
      <c r="C18" s="36" t="s">
        <v>299</v>
      </c>
      <c r="D18" s="38" t="str">
        <f>摸底成績!C19</f>
        <v>秦朗</v>
      </c>
      <c r="E18" s="38">
        <f>摸底成績!D19</f>
        <v>67</v>
      </c>
      <c r="F18" s="20"/>
    </row>
    <row r="19" spans="1:6">
      <c r="A19" s="38">
        <f>摸底成績!A20</f>
        <v>20102036</v>
      </c>
      <c r="B19" s="38">
        <f>摸底成績!B20</f>
        <v>17</v>
      </c>
      <c r="C19" s="36" t="s">
        <v>299</v>
      </c>
      <c r="D19" s="38" t="str">
        <f>摸底成績!C20</f>
        <v>高雅婧</v>
      </c>
      <c r="E19" s="38">
        <f>摸底成績!D20</f>
        <v>91.5</v>
      </c>
      <c r="F19" s="20"/>
    </row>
    <row r="20" spans="1:6">
      <c r="A20" s="38">
        <f>摸底成績!A21</f>
        <v>20153044</v>
      </c>
      <c r="B20" s="38">
        <f>摸底成績!B21</f>
        <v>18</v>
      </c>
      <c r="C20" s="36" t="s">
        <v>299</v>
      </c>
      <c r="D20" s="38" t="str">
        <f>摸底成績!C21</f>
        <v>梁倩瑜</v>
      </c>
      <c r="E20" s="38">
        <f>摸底成績!D21</f>
        <v>95</v>
      </c>
      <c r="F20" s="20"/>
    </row>
    <row r="21" spans="1:6">
      <c r="A21" s="38">
        <f>摸底成績!A22</f>
        <v>20102011</v>
      </c>
      <c r="B21" s="38">
        <f>摸底成績!B22</f>
        <v>19</v>
      </c>
      <c r="C21" s="36" t="s">
        <v>299</v>
      </c>
      <c r="D21" s="38" t="str">
        <f>摸底成績!C22</f>
        <v>梁錦進</v>
      </c>
      <c r="E21" s="38">
        <f>摸底成績!D22</f>
        <v>56</v>
      </c>
      <c r="F21" s="20"/>
    </row>
    <row r="22" spans="1:6">
      <c r="A22" s="38">
        <f>摸底成績!A23</f>
        <v>20102066</v>
      </c>
      <c r="B22" s="38">
        <f>摸底成績!B23</f>
        <v>20</v>
      </c>
      <c r="C22" s="36" t="s">
        <v>299</v>
      </c>
      <c r="D22" s="38" t="str">
        <f>摸底成績!C23</f>
        <v>郭誌烽</v>
      </c>
      <c r="E22" s="38">
        <f>摸底成績!D23</f>
        <v>88</v>
      </c>
      <c r="F22" s="20"/>
    </row>
    <row r="23" spans="1:6">
      <c r="A23" s="38">
        <f>摸底成績!A24</f>
        <v>20220169</v>
      </c>
      <c r="B23" s="38">
        <f>摸底成績!B24</f>
        <v>21</v>
      </c>
      <c r="C23" s="36" t="s">
        <v>299</v>
      </c>
      <c r="D23" s="38" t="str">
        <f>摸底成績!C24</f>
        <v>陳藝珊</v>
      </c>
      <c r="E23" s="38">
        <f>摸底成績!D24</f>
        <v>69</v>
      </c>
      <c r="F23" s="20"/>
    </row>
    <row r="24" spans="1:6">
      <c r="A24" s="38">
        <f>摸底成績!A25</f>
        <v>20220080</v>
      </c>
      <c r="B24" s="38">
        <f>摸底成績!B25</f>
        <v>22</v>
      </c>
      <c r="C24" s="36" t="s">
        <v>299</v>
      </c>
      <c r="D24" s="38" t="str">
        <f>摸底成績!C25</f>
        <v>喻澤森</v>
      </c>
      <c r="E24" s="38">
        <f>摸底成績!D25</f>
        <v>55.5</v>
      </c>
      <c r="F24" s="20"/>
    </row>
    <row r="25" spans="1:6">
      <c r="A25" s="38">
        <f>摸底成績!A26</f>
        <v>20102020</v>
      </c>
      <c r="B25" s="38">
        <f>摸底成績!B26</f>
        <v>23</v>
      </c>
      <c r="C25" s="36" t="s">
        <v>299</v>
      </c>
      <c r="D25" s="38" t="str">
        <f>摸底成績!C26</f>
        <v>楊耀禧</v>
      </c>
      <c r="E25" s="38">
        <f>摸底成績!D26</f>
        <v>79.5</v>
      </c>
      <c r="F25" s="20"/>
    </row>
    <row r="26" spans="1:6">
      <c r="A26" s="38">
        <f>摸底成績!A27</f>
        <v>20230335</v>
      </c>
      <c r="B26" s="38">
        <f>摸底成績!B27</f>
        <v>24</v>
      </c>
      <c r="C26" s="36" t="s">
        <v>299</v>
      </c>
      <c r="D26" s="38" t="str">
        <f>摸底成績!C27</f>
        <v>劉恬序</v>
      </c>
      <c r="E26" s="38">
        <f>摸底成績!D27</f>
        <v>83.5</v>
      </c>
      <c r="F26" s="20"/>
    </row>
    <row r="27" spans="1:6">
      <c r="A27" s="38">
        <f>摸底成績!A28</f>
        <v>20102077</v>
      </c>
      <c r="B27" s="38">
        <f>摸底成績!B28</f>
        <v>25</v>
      </c>
      <c r="C27" s="36" t="s">
        <v>299</v>
      </c>
      <c r="D27" s="38" t="str">
        <f>摸底成績!C28</f>
        <v>黎曉妍</v>
      </c>
      <c r="E27" s="38">
        <f>摸底成績!D28</f>
        <v>52</v>
      </c>
      <c r="F27" s="20"/>
    </row>
    <row r="28" spans="1:6">
      <c r="A28" s="38">
        <f>摸底成績!A29</f>
        <v>20173023</v>
      </c>
      <c r="B28" s="38">
        <f>摸底成績!B29</f>
        <v>26</v>
      </c>
      <c r="C28" s="36" t="s">
        <v>299</v>
      </c>
      <c r="D28" s="38" t="str">
        <f>摸底成績!C29</f>
        <v>盧銳軒</v>
      </c>
      <c r="E28" s="38">
        <f>摸底成績!D29</f>
        <v>82.5</v>
      </c>
      <c r="F28" s="20"/>
    </row>
    <row r="29" spans="1:6">
      <c r="A29" s="38">
        <f>摸底成績!A30</f>
        <v>20190041</v>
      </c>
      <c r="B29" s="38">
        <f>摸底成績!B30</f>
        <v>27</v>
      </c>
      <c r="C29" s="36" t="s">
        <v>299</v>
      </c>
      <c r="D29" s="38" t="str">
        <f>摸底成績!C30</f>
        <v>蕭嘉濤</v>
      </c>
      <c r="E29" s="38">
        <f>摸底成績!D30</f>
        <v>60.5</v>
      </c>
      <c r="F29" s="20"/>
    </row>
    <row r="30" spans="1:6">
      <c r="A30" s="38">
        <f>摸底成績!A31</f>
        <v>20220054</v>
      </c>
      <c r="B30" s="38">
        <f>摸底成績!B31</f>
        <v>28</v>
      </c>
      <c r="C30" s="36" t="s">
        <v>299</v>
      </c>
      <c r="D30" s="38" t="str">
        <f>摸底成績!C31</f>
        <v>龐宏俊</v>
      </c>
      <c r="E30" s="38">
        <f>摸底成績!D31</f>
        <v>80.5</v>
      </c>
      <c r="F30" s="20"/>
    </row>
    <row r="31" spans="1:6">
      <c r="A31" s="39"/>
      <c r="E31" s="38"/>
    </row>
    <row r="32" spans="1:6">
      <c r="A32" s="38">
        <f>摸底成績!E4</f>
        <v>20190194</v>
      </c>
      <c r="B32" s="38">
        <f>摸底成績!F4</f>
        <v>1</v>
      </c>
      <c r="C32" s="36" t="s">
        <v>300</v>
      </c>
      <c r="D32" s="38" t="str">
        <f>摸底成績!G4</f>
        <v>何亦琳</v>
      </c>
      <c r="E32" s="38">
        <f>摸底成績!H4</f>
        <v>91</v>
      </c>
      <c r="F32" s="20"/>
    </row>
    <row r="33" spans="1:6">
      <c r="A33" s="38">
        <f>摸底成績!E5</f>
        <v>20200072</v>
      </c>
      <c r="B33" s="38">
        <f>摸底成績!F5</f>
        <v>2</v>
      </c>
      <c r="C33" s="36" t="s">
        <v>300</v>
      </c>
      <c r="D33" s="38" t="str">
        <f>摸底成績!G5</f>
        <v>李鑫</v>
      </c>
      <c r="E33" s="38">
        <f>摸底成績!H5</f>
        <v>64</v>
      </c>
      <c r="F33" s="20"/>
    </row>
    <row r="34" spans="1:6">
      <c r="A34" s="38">
        <f>摸底成績!E6</f>
        <v>20102031</v>
      </c>
      <c r="B34" s="38">
        <f>摸底成績!F6</f>
        <v>3</v>
      </c>
      <c r="C34" s="36" t="s">
        <v>300</v>
      </c>
      <c r="D34" s="38" t="str">
        <f>摸底成績!G6</f>
        <v>杜家駿</v>
      </c>
      <c r="E34" s="38">
        <f>摸底成績!H6</f>
        <v>35</v>
      </c>
      <c r="F34" s="20"/>
    </row>
    <row r="35" spans="1:6">
      <c r="A35" s="38">
        <f>摸底成績!E7</f>
        <v>20180007</v>
      </c>
      <c r="B35" s="38">
        <f>摸底成績!F7</f>
        <v>4</v>
      </c>
      <c r="C35" s="36" t="s">
        <v>300</v>
      </c>
      <c r="D35" s="38" t="str">
        <f>摸底成績!G7</f>
        <v>林佩怡</v>
      </c>
      <c r="E35" s="38">
        <f>摸底成績!H7</f>
        <v>40</v>
      </c>
      <c r="F35" s="20"/>
    </row>
    <row r="36" spans="1:6">
      <c r="A36" s="38">
        <f>摸底成績!E8</f>
        <v>20102034</v>
      </c>
      <c r="B36" s="38">
        <f>摸底成績!F8</f>
        <v>5</v>
      </c>
      <c r="C36" s="36" t="s">
        <v>300</v>
      </c>
      <c r="D36" s="38" t="str">
        <f>摸底成績!G8</f>
        <v>林俊業</v>
      </c>
      <c r="E36" s="38">
        <f>摸底成績!H8</f>
        <v>64</v>
      </c>
      <c r="F36" s="20"/>
    </row>
    <row r="37" spans="1:6">
      <c r="A37" s="38">
        <f>摸底成績!E9</f>
        <v>20153065</v>
      </c>
      <c r="B37" s="38">
        <f>摸底成績!F9</f>
        <v>6</v>
      </c>
      <c r="C37" s="36" t="s">
        <v>300</v>
      </c>
      <c r="D37" s="38" t="str">
        <f>摸底成績!G9</f>
        <v>姚宏銘</v>
      </c>
      <c r="E37" s="38">
        <f>摸底成績!H9</f>
        <v>87.5</v>
      </c>
      <c r="F37" s="20"/>
    </row>
    <row r="38" spans="1:6">
      <c r="A38" s="38">
        <f>摸底成績!E10</f>
        <v>20220084</v>
      </c>
      <c r="B38" s="38">
        <f>摸底成績!F10</f>
        <v>7</v>
      </c>
      <c r="C38" s="36" t="s">
        <v>300</v>
      </c>
      <c r="D38" s="38" t="str">
        <f>摸底成績!G10</f>
        <v>唐詩堯</v>
      </c>
      <c r="E38" s="38">
        <f>摸底成績!H10</f>
        <v>65.5</v>
      </c>
      <c r="F38" s="20"/>
    </row>
    <row r="39" spans="1:6">
      <c r="A39" s="38">
        <f>摸底成績!E11</f>
        <v>20210163</v>
      </c>
      <c r="B39" s="38">
        <f>摸底成績!F11</f>
        <v>8</v>
      </c>
      <c r="C39" s="36" t="s">
        <v>300</v>
      </c>
      <c r="D39" s="38" t="str">
        <f>摸底成績!G11</f>
        <v>崔仕宇</v>
      </c>
      <c r="E39" s="38">
        <f>摸底成績!H11</f>
        <v>67.5</v>
      </c>
      <c r="F39" s="20"/>
    </row>
    <row r="40" spans="1:6">
      <c r="A40" s="38">
        <f>摸底成績!E12</f>
        <v>20190244</v>
      </c>
      <c r="B40" s="38">
        <f>摸底成績!F12</f>
        <v>9</v>
      </c>
      <c r="C40" s="36" t="s">
        <v>300</v>
      </c>
      <c r="D40" s="38" t="str">
        <f>摸底成績!G12</f>
        <v>梁嘉軒</v>
      </c>
      <c r="E40" s="38">
        <f>摸底成績!H12</f>
        <v>66</v>
      </c>
      <c r="F40" s="20"/>
    </row>
    <row r="41" spans="1:6">
      <c r="A41" s="38">
        <f>摸底成績!E13</f>
        <v>20220085</v>
      </c>
      <c r="B41" s="38">
        <f>摸底成績!F13</f>
        <v>10</v>
      </c>
      <c r="C41" s="36" t="s">
        <v>300</v>
      </c>
      <c r="D41" s="38" t="str">
        <f>摸底成績!G13</f>
        <v>梅俊銳</v>
      </c>
      <c r="E41" s="38">
        <f>摸底成績!H13</f>
        <v>60.5</v>
      </c>
      <c r="F41" s="20"/>
    </row>
    <row r="42" spans="1:6">
      <c r="A42" s="38">
        <f>摸底成績!E14</f>
        <v>20173030</v>
      </c>
      <c r="B42" s="38">
        <f>摸底成績!F14</f>
        <v>11</v>
      </c>
      <c r="C42" s="36" t="s">
        <v>300</v>
      </c>
      <c r="D42" s="38" t="str">
        <f>摸底成績!G14</f>
        <v>陳泓睿</v>
      </c>
      <c r="E42" s="38">
        <f>摸底成績!H14</f>
        <v>62.5</v>
      </c>
      <c r="F42" s="20"/>
    </row>
    <row r="43" spans="1:6">
      <c r="A43" s="38">
        <f>摸底成績!E15</f>
        <v>20220066</v>
      </c>
      <c r="B43" s="38">
        <f>摸底成績!F15</f>
        <v>12</v>
      </c>
      <c r="C43" s="36" t="s">
        <v>300</v>
      </c>
      <c r="D43" s="38" t="str">
        <f>摸底成績!G15</f>
        <v>陳智騫</v>
      </c>
      <c r="E43" s="38">
        <f>摸底成績!H15</f>
        <v>60</v>
      </c>
      <c r="F43" s="20"/>
    </row>
    <row r="44" spans="1:6">
      <c r="A44" s="38">
        <f>摸底成績!E16</f>
        <v>20220188</v>
      </c>
      <c r="B44" s="38">
        <f>摸底成績!F16</f>
        <v>13</v>
      </c>
      <c r="C44" s="36" t="s">
        <v>300</v>
      </c>
      <c r="D44" s="38" t="str">
        <f>摸底成績!G16</f>
        <v>陳棋琛</v>
      </c>
      <c r="E44" s="38">
        <f>摸底成績!H16</f>
        <v>93.5</v>
      </c>
      <c r="F44" s="20"/>
    </row>
    <row r="45" spans="1:6">
      <c r="A45" s="38">
        <f>摸底成績!E17</f>
        <v>20230217</v>
      </c>
      <c r="B45" s="38">
        <f>摸底成績!F17</f>
        <v>14</v>
      </c>
      <c r="C45" s="36" t="s">
        <v>300</v>
      </c>
      <c r="D45" s="38" t="str">
        <f>摸底成績!G17</f>
        <v>陳淼濤</v>
      </c>
      <c r="E45" s="38">
        <f>摸底成績!H17</f>
        <v>56</v>
      </c>
      <c r="F45" s="20"/>
    </row>
    <row r="46" spans="1:6">
      <c r="A46" s="38">
        <f>摸底成績!E18</f>
        <v>20122155</v>
      </c>
      <c r="B46" s="38">
        <f>摸底成績!F18</f>
        <v>15</v>
      </c>
      <c r="C46" s="36" t="s">
        <v>300</v>
      </c>
      <c r="D46" s="38" t="str">
        <f>摸底成績!G18</f>
        <v>陳嘉韻</v>
      </c>
      <c r="E46" s="38">
        <f>摸底成績!H18</f>
        <v>47</v>
      </c>
      <c r="F46" s="20"/>
    </row>
    <row r="47" spans="1:6">
      <c r="A47" s="38">
        <f>摸底成績!E19</f>
        <v>20183037</v>
      </c>
      <c r="B47" s="38">
        <f>摸底成績!F19</f>
        <v>16</v>
      </c>
      <c r="C47" s="36" t="s">
        <v>300</v>
      </c>
      <c r="D47" s="38" t="str">
        <f>摸底成績!G19</f>
        <v>陳樂縈</v>
      </c>
      <c r="E47" s="38">
        <f>摸底成績!H19</f>
        <v>90</v>
      </c>
      <c r="F47" s="20"/>
    </row>
    <row r="48" spans="1:6">
      <c r="A48" s="38">
        <f>摸底成績!E20</f>
        <v>20230296</v>
      </c>
      <c r="B48" s="38">
        <f>摸底成績!F20</f>
        <v>17</v>
      </c>
      <c r="C48" s="36" t="s">
        <v>300</v>
      </c>
      <c r="D48" s="38" t="str">
        <f>摸底成績!G20</f>
        <v>勞卓成</v>
      </c>
      <c r="E48" s="38">
        <f>摸底成績!H20</f>
        <v>53</v>
      </c>
      <c r="F48" s="20"/>
    </row>
    <row r="49" spans="1:6">
      <c r="A49" s="38">
        <f>摸底成績!E21</f>
        <v>20102019</v>
      </c>
      <c r="B49" s="38">
        <f>摸底成績!F21</f>
        <v>18</v>
      </c>
      <c r="C49" s="36" t="s">
        <v>300</v>
      </c>
      <c r="D49" s="38" t="str">
        <f>摸底成績!G21</f>
        <v>曾景恆</v>
      </c>
      <c r="E49" s="38">
        <f>摸底成績!H21</f>
        <v>51.5</v>
      </c>
      <c r="F49" s="20"/>
    </row>
    <row r="50" spans="1:6">
      <c r="A50" s="38">
        <f>摸底成績!E22</f>
        <v>20190074</v>
      </c>
      <c r="B50" s="38">
        <f>摸底成績!F22</f>
        <v>19</v>
      </c>
      <c r="C50" s="36" t="s">
        <v>300</v>
      </c>
      <c r="D50" s="38" t="str">
        <f>摸底成績!G22</f>
        <v>馮若曦</v>
      </c>
      <c r="E50" s="38">
        <f>摸底成績!H22</f>
        <v>66</v>
      </c>
      <c r="F50" s="20"/>
    </row>
    <row r="51" spans="1:6">
      <c r="A51" s="38">
        <f>摸底成績!E23</f>
        <v>20122144</v>
      </c>
      <c r="B51" s="38">
        <f>摸底成績!F23</f>
        <v>20</v>
      </c>
      <c r="C51" s="36" t="s">
        <v>300</v>
      </c>
      <c r="D51" s="38" t="str">
        <f>摸底成績!G23</f>
        <v>黃靜雯</v>
      </c>
      <c r="E51" s="38">
        <f>摸底成績!H23</f>
        <v>33</v>
      </c>
      <c r="F51" s="20"/>
    </row>
    <row r="52" spans="1:6">
      <c r="A52" s="38">
        <f>摸底成績!E24</f>
        <v>20190095</v>
      </c>
      <c r="B52" s="38">
        <f>摸底成績!F24</f>
        <v>21</v>
      </c>
      <c r="C52" s="36" t="s">
        <v>300</v>
      </c>
      <c r="D52" s="38" t="str">
        <f>摸底成績!G24</f>
        <v>溫浩匡</v>
      </c>
      <c r="E52" s="38">
        <f>摸底成績!H24</f>
        <v>93</v>
      </c>
      <c r="F52" s="20"/>
    </row>
    <row r="53" spans="1:6">
      <c r="A53" s="38">
        <f>摸底成績!E25</f>
        <v>20190066</v>
      </c>
      <c r="B53" s="38">
        <f>摸底成績!F25</f>
        <v>22</v>
      </c>
      <c r="C53" s="36" t="s">
        <v>300</v>
      </c>
      <c r="D53" s="38" t="str">
        <f>摸底成績!G25</f>
        <v>趙子瀚</v>
      </c>
      <c r="E53" s="38">
        <f>摸底成績!H25</f>
        <v>31.5</v>
      </c>
      <c r="F53" s="20"/>
    </row>
    <row r="54" spans="1:6">
      <c r="A54" s="38">
        <f>摸底成績!E26</f>
        <v>20220191</v>
      </c>
      <c r="B54" s="38">
        <f>摸底成績!F26</f>
        <v>23</v>
      </c>
      <c r="C54" s="36" t="s">
        <v>300</v>
      </c>
      <c r="D54" s="38" t="str">
        <f>摸底成績!G26</f>
        <v>鄭博文</v>
      </c>
      <c r="E54" s="38">
        <f>摸底成績!H26</f>
        <v>59.5</v>
      </c>
      <c r="F54" s="20"/>
    </row>
    <row r="55" spans="1:6">
      <c r="A55" s="38">
        <f>摸底成績!E27</f>
        <v>20173026</v>
      </c>
      <c r="B55" s="38">
        <f>摸底成績!F27</f>
        <v>24</v>
      </c>
      <c r="C55" s="36" t="s">
        <v>300</v>
      </c>
      <c r="D55" s="38" t="str">
        <f>摸底成績!G27</f>
        <v>黎智傑</v>
      </c>
      <c r="E55" s="38">
        <f>摸底成績!H27</f>
        <v>64</v>
      </c>
      <c r="F55" s="20"/>
    </row>
    <row r="56" spans="1:6">
      <c r="A56" s="38">
        <f>摸底成績!E28</f>
        <v>20143113</v>
      </c>
      <c r="B56" s="38">
        <f>摸底成績!F28</f>
        <v>25</v>
      </c>
      <c r="C56" s="36" t="s">
        <v>300</v>
      </c>
      <c r="D56" s="38" t="str">
        <f>摸底成績!G28</f>
        <v>戴杏燕</v>
      </c>
      <c r="E56" s="38">
        <f>摸底成績!H28</f>
        <v>88.5</v>
      </c>
      <c r="F56" s="20"/>
    </row>
    <row r="57" spans="1:6">
      <c r="A57" s="38">
        <f>摸底成績!E29</f>
        <v>20133024</v>
      </c>
      <c r="B57" s="38">
        <f>摸底成績!F29</f>
        <v>26</v>
      </c>
      <c r="C57" s="36" t="s">
        <v>300</v>
      </c>
      <c r="D57" s="38" t="str">
        <f>摸底成績!G29</f>
        <v>譚芷琦</v>
      </c>
      <c r="E57" s="38">
        <f>摸底成績!H29</f>
        <v>74</v>
      </c>
      <c r="F57" s="20"/>
    </row>
    <row r="58" spans="1:6">
      <c r="A58" s="38">
        <f>摸底成績!E30</f>
        <v>20220120</v>
      </c>
      <c r="B58" s="38">
        <f>摸底成績!F30</f>
        <v>27</v>
      </c>
      <c r="C58" s="36" t="s">
        <v>300</v>
      </c>
      <c r="D58" s="38" t="str">
        <f>摸底成績!G30</f>
        <v>蘇聖鈞</v>
      </c>
      <c r="E58" s="38">
        <f>摸底成績!H30</f>
        <v>69</v>
      </c>
      <c r="F58" s="20"/>
    </row>
    <row r="59" spans="1:6">
      <c r="A59" s="39"/>
      <c r="B59" s="39"/>
      <c r="E59" s="38"/>
    </row>
    <row r="60" spans="1:6">
      <c r="A60" s="38">
        <f>摸底成績!I4</f>
        <v>20230213</v>
      </c>
      <c r="B60" s="38">
        <f>摸底成績!J4</f>
        <v>1</v>
      </c>
      <c r="C60" s="36" t="s">
        <v>301</v>
      </c>
      <c r="D60" s="38" t="str">
        <f>摸底成績!K4</f>
        <v>尤嘉杰</v>
      </c>
      <c r="E60" s="38">
        <f>摸底成績!L4</f>
        <v>74.5</v>
      </c>
      <c r="F60" s="20"/>
    </row>
    <row r="61" spans="1:6">
      <c r="A61" s="38">
        <f>摸底成績!I5</f>
        <v>20190061</v>
      </c>
      <c r="B61" s="38">
        <f>摸底成績!J5</f>
        <v>2</v>
      </c>
      <c r="C61" s="36" t="s">
        <v>301</v>
      </c>
      <c r="D61" s="38" t="str">
        <f>摸底成績!K5</f>
        <v>尹霖</v>
      </c>
      <c r="E61" s="38">
        <f>摸底成績!L5</f>
        <v>74.5</v>
      </c>
      <c r="F61" s="20"/>
    </row>
    <row r="62" spans="1:6">
      <c r="A62" s="38">
        <f>摸底成績!I6</f>
        <v>20097078</v>
      </c>
      <c r="B62" s="38">
        <f>摸底成績!J6</f>
        <v>3</v>
      </c>
      <c r="C62" s="36" t="s">
        <v>301</v>
      </c>
      <c r="D62" s="38" t="str">
        <f>摸底成績!K6</f>
        <v>王子璇</v>
      </c>
      <c r="E62" s="38">
        <f>摸底成績!L6</f>
        <v>59</v>
      </c>
      <c r="F62" s="20"/>
    </row>
    <row r="63" spans="1:6">
      <c r="A63" s="38">
        <f>摸底成績!I7</f>
        <v>20200074</v>
      </c>
      <c r="B63" s="38">
        <f>摸底成績!J7</f>
        <v>4</v>
      </c>
      <c r="C63" s="36" t="s">
        <v>301</v>
      </c>
      <c r="D63" s="38" t="str">
        <f>摸底成績!K7</f>
        <v>古凌嫣</v>
      </c>
      <c r="E63" s="38">
        <f>摸底成績!L7</f>
        <v>88</v>
      </c>
      <c r="F63" s="20"/>
    </row>
    <row r="64" spans="1:6">
      <c r="A64" s="38">
        <f>摸底成績!I8</f>
        <v>20200175</v>
      </c>
      <c r="B64" s="38">
        <f>摸底成績!J8</f>
        <v>5</v>
      </c>
      <c r="C64" s="36" t="s">
        <v>301</v>
      </c>
      <c r="D64" s="38" t="str">
        <f>摸底成績!K8</f>
        <v>伍蕙君</v>
      </c>
      <c r="E64" s="38">
        <f>摸底成績!L8</f>
        <v>64</v>
      </c>
      <c r="F64" s="20"/>
    </row>
    <row r="65" spans="1:6">
      <c r="A65" s="38">
        <f>摸底成績!I9</f>
        <v>20220220</v>
      </c>
      <c r="B65" s="38">
        <f>摸底成績!J9</f>
        <v>6</v>
      </c>
      <c r="C65" s="36" t="s">
        <v>301</v>
      </c>
      <c r="D65" s="38" t="str">
        <f>摸底成績!K9</f>
        <v>何宇揚</v>
      </c>
      <c r="E65" s="38">
        <f>摸底成績!L9</f>
        <v>70</v>
      </c>
      <c r="F65" s="20"/>
    </row>
    <row r="66" spans="1:6">
      <c r="A66" s="38">
        <f>摸底成績!I10</f>
        <v>20210196</v>
      </c>
      <c r="B66" s="38">
        <f>摸底成績!J10</f>
        <v>7</v>
      </c>
      <c r="C66" s="36" t="s">
        <v>301</v>
      </c>
      <c r="D66" s="38" t="str">
        <f>摸底成績!K10</f>
        <v>李蓬承</v>
      </c>
      <c r="E66" s="38">
        <f>摸底成績!L10</f>
        <v>43.5</v>
      </c>
      <c r="F66" s="20"/>
    </row>
    <row r="67" spans="1:6">
      <c r="A67" s="38">
        <f>摸底成績!I11</f>
        <v>20102007</v>
      </c>
      <c r="B67" s="38">
        <f>摸底成績!J11</f>
        <v>8</v>
      </c>
      <c r="C67" s="36" t="s">
        <v>301</v>
      </c>
      <c r="D67" s="38" t="str">
        <f>摸底成績!K11</f>
        <v>林汶暉</v>
      </c>
      <c r="E67" s="38">
        <f>摸底成績!L11</f>
        <v>48</v>
      </c>
      <c r="F67" s="20"/>
    </row>
    <row r="68" spans="1:6">
      <c r="A68" s="38">
        <f>摸底成績!I12</f>
        <v>20220060</v>
      </c>
      <c r="B68" s="38">
        <f>摸底成績!J12</f>
        <v>9</v>
      </c>
      <c r="C68" s="36" t="s">
        <v>301</v>
      </c>
      <c r="D68" s="38" t="str">
        <f>摸底成績!K12</f>
        <v>林翰儒</v>
      </c>
      <c r="E68" s="38">
        <f>摸底成績!L12</f>
        <v>84.5</v>
      </c>
      <c r="F68" s="20"/>
    </row>
    <row r="69" spans="1:6">
      <c r="A69" s="38">
        <f>摸底成績!I13</f>
        <v>20163070</v>
      </c>
      <c r="B69" s="38">
        <f>摸底成績!J13</f>
        <v>10</v>
      </c>
      <c r="C69" s="36" t="s">
        <v>301</v>
      </c>
      <c r="D69" s="38" t="str">
        <f>摸底成績!K13</f>
        <v>胡善杰</v>
      </c>
      <c r="E69" s="38">
        <f>摸底成績!L13</f>
        <v>93</v>
      </c>
      <c r="F69" s="20"/>
    </row>
    <row r="70" spans="1:6">
      <c r="A70" s="38">
        <f>摸底成績!I14</f>
        <v>20153045</v>
      </c>
      <c r="B70" s="38">
        <f>摸底成績!J14</f>
        <v>11</v>
      </c>
      <c r="C70" s="36" t="s">
        <v>301</v>
      </c>
      <c r="D70" s="38" t="str">
        <f>摸底成績!K14</f>
        <v>梁家誠</v>
      </c>
      <c r="E70" s="38">
        <f>摸底成績!L14</f>
        <v>88.5</v>
      </c>
      <c r="F70" s="20"/>
    </row>
    <row r="71" spans="1:6">
      <c r="A71" s="38">
        <f>摸底成績!I15</f>
        <v>20190111</v>
      </c>
      <c r="B71" s="38">
        <f>摸底成績!J15</f>
        <v>12</v>
      </c>
      <c r="C71" s="36" t="s">
        <v>301</v>
      </c>
      <c r="D71" s="38" t="str">
        <f>摸底成績!K15</f>
        <v>許啓晟</v>
      </c>
      <c r="E71" s="38">
        <f>摸底成績!L15</f>
        <v>83.5</v>
      </c>
      <c r="F71" s="20"/>
    </row>
    <row r="72" spans="1:6">
      <c r="A72" s="38">
        <f>摸底成績!I16</f>
        <v>20163039</v>
      </c>
      <c r="B72" s="38">
        <f>摸底成績!J16</f>
        <v>13</v>
      </c>
      <c r="C72" s="36" t="s">
        <v>301</v>
      </c>
      <c r="D72" s="38" t="str">
        <f>摸底成績!K16</f>
        <v>許騰</v>
      </c>
      <c r="E72" s="38">
        <f>摸底成績!L16</f>
        <v>53.5</v>
      </c>
      <c r="F72" s="20"/>
    </row>
    <row r="73" spans="1:6">
      <c r="A73" s="38">
        <f>摸底成績!I17</f>
        <v>20143016</v>
      </c>
      <c r="B73" s="38">
        <f>摸底成績!J17</f>
        <v>14</v>
      </c>
      <c r="C73" s="36" t="s">
        <v>301</v>
      </c>
      <c r="D73" s="38" t="str">
        <f>摸底成績!K17</f>
        <v>郭健朗</v>
      </c>
      <c r="E73" s="38">
        <f>摸底成績!L17</f>
        <v>62.5</v>
      </c>
      <c r="F73" s="20"/>
    </row>
    <row r="74" spans="1:6">
      <c r="A74" s="38">
        <f>摸底成績!I18</f>
        <v>20112106</v>
      </c>
      <c r="B74" s="38">
        <f>摸底成績!J18</f>
        <v>15</v>
      </c>
      <c r="C74" s="36" t="s">
        <v>301</v>
      </c>
      <c r="D74" s="38" t="str">
        <f>摸底成績!K18</f>
        <v>陳輝騰</v>
      </c>
      <c r="E74" s="38">
        <f>摸底成績!L18</f>
        <v>50</v>
      </c>
      <c r="F74" s="20"/>
    </row>
    <row r="75" spans="1:6">
      <c r="A75" s="38">
        <f>摸底成績!I19</f>
        <v>20200159</v>
      </c>
      <c r="B75" s="38">
        <f>摸底成績!J19</f>
        <v>16</v>
      </c>
      <c r="C75" s="36" t="s">
        <v>301</v>
      </c>
      <c r="D75" s="38" t="str">
        <f>摸底成績!K19</f>
        <v>陳寶儀</v>
      </c>
      <c r="E75" s="38">
        <f>摸底成績!L19</f>
        <v>44.5</v>
      </c>
      <c r="F75" s="20"/>
    </row>
    <row r="76" spans="1:6">
      <c r="A76" s="38">
        <f>摸底成績!I20</f>
        <v>20220186</v>
      </c>
      <c r="B76" s="38">
        <f>摸底成績!J20</f>
        <v>17</v>
      </c>
      <c r="C76" s="36" t="s">
        <v>301</v>
      </c>
      <c r="D76" s="38" t="str">
        <f>摸底成績!K20</f>
        <v>曾韋祥</v>
      </c>
      <c r="E76" s="38">
        <f>摸底成績!L20</f>
        <v>76</v>
      </c>
      <c r="F76" s="20"/>
    </row>
    <row r="77" spans="1:6">
      <c r="A77" s="38">
        <f>摸底成績!I21</f>
        <v>20220068</v>
      </c>
      <c r="B77" s="38">
        <f>摸底成績!J21</f>
        <v>18</v>
      </c>
      <c r="C77" s="36" t="s">
        <v>301</v>
      </c>
      <c r="D77" s="38" t="str">
        <f>摸底成績!K21</f>
        <v>曾國鑫</v>
      </c>
      <c r="E77" s="38">
        <f>摸底成績!L21</f>
        <v>84</v>
      </c>
      <c r="F77" s="20"/>
    </row>
    <row r="78" spans="1:6">
      <c r="A78" s="38">
        <f>摸底成績!I22</f>
        <v>20220168</v>
      </c>
      <c r="B78" s="38">
        <f>摸底成績!J22</f>
        <v>19</v>
      </c>
      <c r="C78" s="36" t="s">
        <v>301</v>
      </c>
      <c r="D78" s="38" t="str">
        <f>摸底成績!K22</f>
        <v>黃紫璐</v>
      </c>
      <c r="E78" s="38">
        <f>摸底成績!L22</f>
        <v>26</v>
      </c>
      <c r="F78" s="20"/>
    </row>
    <row r="79" spans="1:6">
      <c r="A79" s="38">
        <f>摸底成績!I23</f>
        <v>20190013</v>
      </c>
      <c r="B79" s="38">
        <f>摸底成績!J23</f>
        <v>20</v>
      </c>
      <c r="C79" s="36" t="s">
        <v>301</v>
      </c>
      <c r="D79" s="38" t="str">
        <f>摸底成績!K23</f>
        <v>黃嘉欣</v>
      </c>
      <c r="E79" s="38">
        <f>摸底成績!L23</f>
        <v>47.5</v>
      </c>
      <c r="F79" s="20"/>
    </row>
    <row r="80" spans="1:6">
      <c r="A80" s="38">
        <f>摸底成績!I24</f>
        <v>20102047</v>
      </c>
      <c r="B80" s="38">
        <f>摸底成績!J24</f>
        <v>21</v>
      </c>
      <c r="C80" s="36" t="s">
        <v>301</v>
      </c>
      <c r="D80" s="38" t="str">
        <f>摸底成績!K24</f>
        <v>黃銘言</v>
      </c>
      <c r="E80" s="38">
        <f>摸底成績!L24</f>
        <v>37</v>
      </c>
      <c r="F80" s="20"/>
    </row>
    <row r="81" spans="1:6">
      <c r="A81" s="38">
        <f>摸底成績!I25</f>
        <v>20190075</v>
      </c>
      <c r="B81" s="38">
        <f>摸底成績!J25</f>
        <v>22</v>
      </c>
      <c r="C81" s="36" t="s">
        <v>301</v>
      </c>
      <c r="D81" s="38" t="str">
        <f>摸底成績!K25</f>
        <v>楊景程</v>
      </c>
      <c r="E81" s="38">
        <f>摸底成績!L25</f>
        <v>49.5</v>
      </c>
      <c r="F81" s="20"/>
    </row>
    <row r="82" spans="1:6">
      <c r="A82" s="38">
        <f>摸底成績!I26</f>
        <v>20220096</v>
      </c>
      <c r="B82" s="38">
        <f>摸底成績!J26</f>
        <v>23</v>
      </c>
      <c r="C82" s="36" t="s">
        <v>301</v>
      </c>
      <c r="D82" s="38" t="str">
        <f>摸底成績!K26</f>
        <v>葉思睿</v>
      </c>
      <c r="E82" s="38">
        <f>摸底成績!L26</f>
        <v>65.5</v>
      </c>
      <c r="F82" s="20"/>
    </row>
    <row r="83" spans="1:6">
      <c r="A83" s="38">
        <f>摸底成績!I27</f>
        <v>20220077</v>
      </c>
      <c r="B83" s="38">
        <f>摸底成績!J27</f>
        <v>24</v>
      </c>
      <c r="C83" s="36" t="s">
        <v>301</v>
      </c>
      <c r="D83" s="38" t="str">
        <f>摸底成績!K27</f>
        <v>廖嘉裕</v>
      </c>
      <c r="E83" s="38">
        <f>摸底成績!L27</f>
        <v>81</v>
      </c>
      <c r="F83" s="20"/>
    </row>
    <row r="84" spans="1:6">
      <c r="A84" s="38">
        <f>摸底成績!I28</f>
        <v>20102022</v>
      </c>
      <c r="B84" s="38">
        <f>摸底成績!J28</f>
        <v>25</v>
      </c>
      <c r="C84" s="36" t="s">
        <v>301</v>
      </c>
      <c r="D84" s="38" t="str">
        <f>摸底成績!K28</f>
        <v>廖鑫瑜</v>
      </c>
      <c r="E84" s="38">
        <f>摸底成績!L28</f>
        <v>65</v>
      </c>
      <c r="F84" s="20"/>
    </row>
    <row r="85" spans="1:6">
      <c r="A85" s="38">
        <f>摸底成績!I29</f>
        <v>20163081</v>
      </c>
      <c r="B85" s="38">
        <f>摸底成績!J29</f>
        <v>26</v>
      </c>
      <c r="C85" s="36" t="s">
        <v>301</v>
      </c>
      <c r="D85" s="38" t="str">
        <f>摸底成績!K29</f>
        <v>鄭嘉怡</v>
      </c>
      <c r="E85" s="38">
        <f>摸底成績!L29</f>
        <v>52</v>
      </c>
      <c r="F85" s="20"/>
    </row>
    <row r="86" spans="1:6">
      <c r="A86" s="38">
        <f>摸底成績!I30</f>
        <v>20220095</v>
      </c>
      <c r="B86" s="38">
        <f>摸底成績!J30</f>
        <v>27</v>
      </c>
      <c r="C86" s="36" t="s">
        <v>301</v>
      </c>
      <c r="D86" s="38" t="str">
        <f>摸底成績!K30</f>
        <v>黎晉彬</v>
      </c>
      <c r="E86" s="38">
        <f>摸底成績!L30</f>
        <v>94.5</v>
      </c>
      <c r="F86" s="20"/>
    </row>
    <row r="87" spans="1:6">
      <c r="A87" s="39"/>
      <c r="B87" s="39"/>
      <c r="E87" s="38"/>
    </row>
    <row r="88" spans="1:6">
      <c r="A88" s="38">
        <f>摸底成績!M4</f>
        <v>20190043</v>
      </c>
      <c r="B88" s="38">
        <f>摸底成績!N4</f>
        <v>1</v>
      </c>
      <c r="C88" s="36" t="s">
        <v>302</v>
      </c>
      <c r="D88" s="38" t="str">
        <f>摸底成績!O4</f>
        <v>王家銘</v>
      </c>
      <c r="E88" s="38">
        <f>摸底成績!P4</f>
        <v>34</v>
      </c>
      <c r="F88" s="20"/>
    </row>
    <row r="89" spans="1:6">
      <c r="A89" s="38">
        <f>摸底成績!M5</f>
        <v>20220053</v>
      </c>
      <c r="B89" s="38">
        <f>摸底成績!N5</f>
        <v>2</v>
      </c>
      <c r="C89" s="36" t="s">
        <v>302</v>
      </c>
      <c r="D89" s="38" t="str">
        <f>摸底成績!O5</f>
        <v>伍智恒</v>
      </c>
      <c r="E89" s="38">
        <f>摸底成績!P5</f>
        <v>58</v>
      </c>
      <c r="F89" s="20"/>
    </row>
    <row r="90" spans="1:6">
      <c r="A90" s="38">
        <f>摸底成績!M6</f>
        <v>20220090</v>
      </c>
      <c r="B90" s="38">
        <f>摸底成績!N6</f>
        <v>3</v>
      </c>
      <c r="C90" s="36" t="s">
        <v>302</v>
      </c>
      <c r="D90" s="38" t="str">
        <f>摸底成績!O6</f>
        <v>何盛林</v>
      </c>
      <c r="E90" s="38">
        <f>摸底成績!P6</f>
        <v>75</v>
      </c>
      <c r="F90" s="20"/>
    </row>
    <row r="91" spans="1:6">
      <c r="A91" s="38">
        <f>摸底成績!M7</f>
        <v>20190011</v>
      </c>
      <c r="B91" s="38">
        <f>摸底成績!N7</f>
        <v>4</v>
      </c>
      <c r="C91" s="36" t="s">
        <v>302</v>
      </c>
      <c r="D91" s="38" t="str">
        <f>摸底成績!O7</f>
        <v>吳俊賢</v>
      </c>
      <c r="E91" s="38">
        <f>摸底成績!P7</f>
        <v>29.5</v>
      </c>
      <c r="F91" s="20"/>
    </row>
    <row r="92" spans="1:6">
      <c r="A92" s="38">
        <f>摸底成績!M8</f>
        <v>20230298</v>
      </c>
      <c r="B92" s="38">
        <f>摸底成績!N8</f>
        <v>5</v>
      </c>
      <c r="C92" s="36" t="s">
        <v>302</v>
      </c>
      <c r="D92" s="38" t="str">
        <f>摸底成績!O8</f>
        <v>李凱璇</v>
      </c>
      <c r="E92" s="38">
        <f>摸底成績!P8</f>
        <v>74.5</v>
      </c>
      <c r="F92" s="20"/>
    </row>
    <row r="93" spans="1:6">
      <c r="A93" s="38">
        <f>摸底成績!M9</f>
        <v>20153078</v>
      </c>
      <c r="B93" s="38">
        <f>摸底成績!N9</f>
        <v>6</v>
      </c>
      <c r="C93" s="36" t="s">
        <v>302</v>
      </c>
      <c r="D93" s="38" t="str">
        <f>摸底成績!O9</f>
        <v>林家逸</v>
      </c>
      <c r="E93" s="38">
        <f>摸底成績!P9</f>
        <v>37</v>
      </c>
      <c r="F93" s="20"/>
    </row>
    <row r="94" spans="1:6">
      <c r="A94" s="38">
        <f>摸底成績!M10</f>
        <v>20190082</v>
      </c>
      <c r="B94" s="38">
        <f>摸底成績!N10</f>
        <v>7</v>
      </c>
      <c r="C94" s="36" t="s">
        <v>302</v>
      </c>
      <c r="D94" s="38" t="str">
        <f>摸底成績!O10</f>
        <v>林靜瑜</v>
      </c>
      <c r="E94" s="38">
        <f>摸底成績!P10</f>
        <v>58.5</v>
      </c>
      <c r="F94" s="20"/>
    </row>
    <row r="95" spans="1:6">
      <c r="A95" s="38">
        <f>摸底成績!M11</f>
        <v>20220097</v>
      </c>
      <c r="B95" s="38">
        <f>摸底成績!N11</f>
        <v>8</v>
      </c>
      <c r="C95" s="36" t="s">
        <v>302</v>
      </c>
      <c r="D95" s="38" t="str">
        <f>摸底成績!O11</f>
        <v>康昊明</v>
      </c>
      <c r="E95" s="38">
        <f>摸底成績!P11</f>
        <v>77.5</v>
      </c>
      <c r="F95" s="20"/>
    </row>
    <row r="96" spans="1:6">
      <c r="A96" s="38">
        <f>摸底成績!M12</f>
        <v>20220142</v>
      </c>
      <c r="B96" s="38">
        <f>摸底成績!N12</f>
        <v>9</v>
      </c>
      <c r="C96" s="36" t="s">
        <v>302</v>
      </c>
      <c r="D96" s="38" t="str">
        <f>摸底成績!O12</f>
        <v>梁咏詩</v>
      </c>
      <c r="E96" s="38">
        <f>摸底成績!P12</f>
        <v>66.5</v>
      </c>
      <c r="F96" s="20"/>
    </row>
    <row r="97" spans="1:6">
      <c r="A97" s="38">
        <f>摸底成績!M13</f>
        <v>20220086</v>
      </c>
      <c r="B97" s="38">
        <f>摸底成績!N13</f>
        <v>10</v>
      </c>
      <c r="C97" s="36" t="s">
        <v>302</v>
      </c>
      <c r="D97" s="38" t="str">
        <f>摸底成績!O13</f>
        <v>梁語倩</v>
      </c>
      <c r="E97" s="38">
        <f>摸底成績!P13</f>
        <v>82</v>
      </c>
      <c r="F97" s="20"/>
    </row>
    <row r="98" spans="1:6">
      <c r="A98" s="38">
        <f>摸底成績!M14</f>
        <v>20200095</v>
      </c>
      <c r="B98" s="38">
        <f>摸底成績!N14</f>
        <v>11</v>
      </c>
      <c r="C98" s="36" t="s">
        <v>302</v>
      </c>
      <c r="D98" s="38" t="str">
        <f>摸底成績!O14</f>
        <v>陳子晴</v>
      </c>
      <c r="E98" s="38">
        <f>摸底成績!P14</f>
        <v>62</v>
      </c>
      <c r="F98" s="20"/>
    </row>
    <row r="99" spans="1:6">
      <c r="A99" s="38">
        <f>摸底成績!M15</f>
        <v>20133015</v>
      </c>
      <c r="B99" s="38">
        <f>摸底成績!N15</f>
        <v>12</v>
      </c>
      <c r="C99" s="36" t="s">
        <v>302</v>
      </c>
      <c r="D99" s="38" t="str">
        <f>摸底成績!O15</f>
        <v>陳俊良</v>
      </c>
      <c r="E99" s="38">
        <f>摸底成績!P15</f>
        <v>78.5</v>
      </c>
      <c r="F99" s="20"/>
    </row>
    <row r="100" spans="1:6">
      <c r="A100" s="38">
        <f>摸底成績!M16</f>
        <v>20220185</v>
      </c>
      <c r="B100" s="38">
        <f>摸底成績!N16</f>
        <v>13</v>
      </c>
      <c r="C100" s="36" t="s">
        <v>302</v>
      </c>
      <c r="D100" s="38" t="str">
        <f>摸底成績!O16</f>
        <v>陳嘉和</v>
      </c>
      <c r="E100" s="38">
        <f>摸底成績!P16</f>
        <v>72.5</v>
      </c>
      <c r="F100" s="20"/>
    </row>
    <row r="101" spans="1:6">
      <c r="A101" s="38">
        <f>摸底成績!M17</f>
        <v>20220094</v>
      </c>
      <c r="B101" s="38">
        <f>摸底成績!N17</f>
        <v>14</v>
      </c>
      <c r="C101" s="36" t="s">
        <v>302</v>
      </c>
      <c r="D101" s="38" t="str">
        <f>摸底成績!O17</f>
        <v>陳嘉駿</v>
      </c>
      <c r="E101" s="38">
        <f>摸底成績!P17</f>
        <v>21.5</v>
      </c>
      <c r="F101" s="20"/>
    </row>
    <row r="102" spans="1:6">
      <c r="A102" s="38">
        <f>摸底成績!M18</f>
        <v>20200096</v>
      </c>
      <c r="B102" s="38">
        <f>摸底成績!N18</f>
        <v>15</v>
      </c>
      <c r="C102" s="36" t="s">
        <v>302</v>
      </c>
      <c r="D102" s="38" t="str">
        <f>摸底成績!O18</f>
        <v>陳夢婷</v>
      </c>
      <c r="E102" s="38">
        <f>摸底成績!P18</f>
        <v>62</v>
      </c>
      <c r="F102" s="20"/>
    </row>
    <row r="103" spans="1:6">
      <c r="A103" s="38">
        <f>摸底成績!M19</f>
        <v>20210120</v>
      </c>
      <c r="B103" s="38">
        <f>摸底成績!N19</f>
        <v>16</v>
      </c>
      <c r="C103" s="36" t="s">
        <v>302</v>
      </c>
      <c r="D103" s="38" t="str">
        <f>摸底成績!O19</f>
        <v>陳鵬先</v>
      </c>
      <c r="E103" s="38">
        <f>摸底成績!P19</f>
        <v>63.5</v>
      </c>
      <c r="F103" s="20"/>
    </row>
    <row r="104" spans="1:6">
      <c r="A104" s="38">
        <f>摸底成績!M20</f>
        <v>20190178</v>
      </c>
      <c r="B104" s="38">
        <f>摸底成績!N20</f>
        <v>17</v>
      </c>
      <c r="C104" s="36" t="s">
        <v>302</v>
      </c>
      <c r="D104" s="38" t="str">
        <f>摸底成績!O20</f>
        <v>喬馨</v>
      </c>
      <c r="E104" s="38">
        <f>摸底成績!P20</f>
        <v>80</v>
      </c>
      <c r="F104" s="20"/>
    </row>
    <row r="105" spans="1:6">
      <c r="A105" s="38">
        <f>摸底成績!M21</f>
        <v>20220063</v>
      </c>
      <c r="B105" s="38">
        <f>摸底成績!N21</f>
        <v>18</v>
      </c>
      <c r="C105" s="36" t="s">
        <v>302</v>
      </c>
      <c r="D105" s="38" t="str">
        <f>摸底成績!O21</f>
        <v>蔡昊辰</v>
      </c>
      <c r="E105" s="38">
        <f>摸底成績!P21</f>
        <v>63.5</v>
      </c>
      <c r="F105" s="20"/>
    </row>
    <row r="106" spans="1:6">
      <c r="A106" s="38">
        <f>摸底成績!M22</f>
        <v>20122135</v>
      </c>
      <c r="B106" s="38">
        <f>摸底成績!N22</f>
        <v>19</v>
      </c>
      <c r="C106" s="36" t="s">
        <v>302</v>
      </c>
      <c r="D106" s="38" t="str">
        <f>摸底成績!O22</f>
        <v>鄭偉成</v>
      </c>
      <c r="E106" s="38">
        <f>摸底成績!P22</f>
        <v>69</v>
      </c>
      <c r="F106" s="20"/>
    </row>
    <row r="107" spans="1:6">
      <c r="A107" s="38">
        <f>摸底成績!M23</f>
        <v>20190078</v>
      </c>
      <c r="B107" s="38">
        <f>摸底成績!N23</f>
        <v>20</v>
      </c>
      <c r="C107" s="36" t="s">
        <v>302</v>
      </c>
      <c r="D107" s="38" t="str">
        <f>摸底成績!O23</f>
        <v>賴佳亮</v>
      </c>
      <c r="E107" s="38">
        <f>摸底成績!P23</f>
        <v>71</v>
      </c>
      <c r="F107" s="20"/>
    </row>
    <row r="108" spans="1:6">
      <c r="A108" s="38">
        <f>摸底成績!M24</f>
        <v>20220071</v>
      </c>
      <c r="B108" s="38">
        <f>摸底成績!N24</f>
        <v>21</v>
      </c>
      <c r="C108" s="36" t="s">
        <v>302</v>
      </c>
      <c r="D108" s="38" t="str">
        <f>摸底成績!O24</f>
        <v>藍田</v>
      </c>
      <c r="E108" s="38">
        <f>摸底成績!P24</f>
        <v>89</v>
      </c>
      <c r="F108" s="20"/>
    </row>
    <row r="109" spans="1:6">
      <c r="A109" s="38">
        <f>摸底成績!M25</f>
        <v>20190008</v>
      </c>
      <c r="B109" s="38">
        <f>摸底成績!N25</f>
        <v>22</v>
      </c>
      <c r="C109" s="36" t="s">
        <v>302</v>
      </c>
      <c r="D109" s="38" t="str">
        <f>摸底成績!O25</f>
        <v>顏鴻銘</v>
      </c>
      <c r="E109" s="38">
        <f>摸底成績!P25</f>
        <v>42</v>
      </c>
      <c r="F109" s="20"/>
    </row>
    <row r="110" spans="1:6">
      <c r="A110" s="38">
        <f>摸底成績!M26</f>
        <v>20102053</v>
      </c>
      <c r="B110" s="38">
        <f>摸底成績!N26</f>
        <v>23</v>
      </c>
      <c r="C110" s="36" t="s">
        <v>302</v>
      </c>
      <c r="D110" s="38" t="str">
        <f>摸底成績!O26</f>
        <v>譚卓星</v>
      </c>
      <c r="E110" s="38">
        <f>摸底成績!P26</f>
        <v>66</v>
      </c>
      <c r="F110" s="20"/>
    </row>
    <row r="111" spans="1:6">
      <c r="A111" s="38">
        <f>摸底成績!M27</f>
        <v>20200188</v>
      </c>
      <c r="B111" s="38">
        <f>摸底成績!N27</f>
        <v>24</v>
      </c>
      <c r="C111" s="36" t="s">
        <v>302</v>
      </c>
      <c r="D111" s="38" t="str">
        <f>摸底成績!O27</f>
        <v>續卓宇</v>
      </c>
      <c r="E111" s="38">
        <f>摸底成績!P27</f>
        <v>70.5</v>
      </c>
      <c r="F111" s="20"/>
    </row>
    <row r="112" spans="1:6">
      <c r="A112" s="38">
        <f>摸底成績!M28</f>
        <v>20230345</v>
      </c>
      <c r="B112" s="38">
        <f>摸底成績!N28</f>
        <v>25</v>
      </c>
      <c r="C112" s="36" t="s">
        <v>302</v>
      </c>
      <c r="D112" s="38" t="str">
        <f>摸底成績!O28</f>
        <v>楊豐嘉</v>
      </c>
      <c r="E112" s="38">
        <f>摸底成績!P28</f>
        <v>58.5</v>
      </c>
      <c r="F112" s="20"/>
    </row>
    <row r="113" spans="1:6">
      <c r="A113" s="38">
        <f>摸底成績!M29</f>
        <v>20240363</v>
      </c>
      <c r="B113" s="38">
        <f>摸底成績!N29</f>
        <v>26</v>
      </c>
      <c r="C113" s="36" t="s">
        <v>302</v>
      </c>
      <c r="D113" s="38" t="str">
        <f>摸底成績!O29</f>
        <v>黃思棋</v>
      </c>
      <c r="E113" s="38">
        <f>摸底成績!P29</f>
        <v>53</v>
      </c>
      <c r="F113" s="20"/>
    </row>
    <row r="114" spans="1:6">
      <c r="A114" s="39"/>
      <c r="B114" s="39"/>
      <c r="E114" s="38"/>
    </row>
    <row r="115" spans="1:6">
      <c r="A115" s="38">
        <f>摸底成績!Q4</f>
        <v>20190080</v>
      </c>
      <c r="B115" s="38">
        <f>摸底成績!R4</f>
        <v>1</v>
      </c>
      <c r="C115" s="36" t="s">
        <v>303</v>
      </c>
      <c r="D115" s="38" t="str">
        <f>摸底成績!S4</f>
        <v>吳翠瑩</v>
      </c>
      <c r="E115" s="38">
        <f>摸底成績!T4</f>
        <v>83.5</v>
      </c>
      <c r="F115" s="20"/>
    </row>
    <row r="116" spans="1:6">
      <c r="A116" s="38">
        <f>摸底成績!Q5</f>
        <v>20230348</v>
      </c>
      <c r="B116" s="38">
        <f>摸底成績!R5</f>
        <v>2</v>
      </c>
      <c r="C116" s="36" t="s">
        <v>303</v>
      </c>
      <c r="D116" s="38" t="str">
        <f>摸底成績!S5</f>
        <v>宋興喆</v>
      </c>
      <c r="E116" s="38">
        <f>摸底成績!T5</f>
        <v>94</v>
      </c>
      <c r="F116" s="20"/>
    </row>
    <row r="117" spans="1:6">
      <c r="A117" s="38">
        <f>摸底成績!Q6</f>
        <v>20190190</v>
      </c>
      <c r="B117" s="38">
        <f>摸底成績!R6</f>
        <v>3</v>
      </c>
      <c r="C117" s="36" t="s">
        <v>303</v>
      </c>
      <c r="D117" s="38" t="str">
        <f>摸底成績!S6</f>
        <v>李嘉杰</v>
      </c>
      <c r="E117" s="38">
        <f>摸底成績!T6</f>
        <v>68</v>
      </c>
      <c r="F117" s="20"/>
    </row>
    <row r="118" spans="1:6">
      <c r="A118" s="38">
        <f>摸底成績!Q7</f>
        <v>20122139</v>
      </c>
      <c r="B118" s="38">
        <f>摸底成績!R7</f>
        <v>4</v>
      </c>
      <c r="C118" s="36" t="s">
        <v>303</v>
      </c>
      <c r="D118" s="38" t="str">
        <f>摸底成績!S7</f>
        <v>林子俊</v>
      </c>
      <c r="E118" s="38">
        <f>摸底成績!T7</f>
        <v>83.5</v>
      </c>
      <c r="F118" s="20"/>
    </row>
    <row r="119" spans="1:6">
      <c r="A119" s="38">
        <f>摸底成績!Q8</f>
        <v>20220175</v>
      </c>
      <c r="B119" s="38">
        <f>摸底成績!R8</f>
        <v>5</v>
      </c>
      <c r="C119" s="36" t="s">
        <v>303</v>
      </c>
      <c r="D119" s="38" t="str">
        <f>摸底成績!S8</f>
        <v>林靖瑜</v>
      </c>
      <c r="E119" s="38">
        <f>摸底成績!T8</f>
        <v>39</v>
      </c>
      <c r="F119" s="20"/>
    </row>
    <row r="120" spans="1:6">
      <c r="A120" s="38">
        <f>摸底成績!Q9</f>
        <v>20102035</v>
      </c>
      <c r="B120" s="38">
        <f>摸底成績!R9</f>
        <v>6</v>
      </c>
      <c r="C120" s="36" t="s">
        <v>303</v>
      </c>
      <c r="D120" s="38" t="str">
        <f>摸底成績!S9</f>
        <v>唐海敏</v>
      </c>
      <c r="E120" s="38">
        <f>摸底成績!T9</f>
        <v>39</v>
      </c>
      <c r="F120" s="20"/>
    </row>
    <row r="121" spans="1:6">
      <c r="A121" s="38">
        <f>摸底成績!Q10</f>
        <v>20220082</v>
      </c>
      <c r="B121" s="38">
        <f>摸底成績!R10</f>
        <v>7</v>
      </c>
      <c r="C121" s="36" t="s">
        <v>303</v>
      </c>
      <c r="D121" s="38" t="str">
        <f>摸底成績!S10</f>
        <v>徐朗庭</v>
      </c>
      <c r="E121" s="38">
        <f>摸底成績!T10</f>
        <v>72.5</v>
      </c>
      <c r="F121" s="20"/>
    </row>
    <row r="122" spans="1:6">
      <c r="A122" s="38">
        <f>摸底成績!Q11</f>
        <v>20220091</v>
      </c>
      <c r="B122" s="38">
        <f>摸底成績!R11</f>
        <v>8</v>
      </c>
      <c r="C122" s="36" t="s">
        <v>303</v>
      </c>
      <c r="D122" s="38" t="str">
        <f>摸底成績!S11</f>
        <v>曹越</v>
      </c>
      <c r="E122" s="38">
        <f>摸底成績!T11</f>
        <v>71</v>
      </c>
      <c r="F122" s="20"/>
    </row>
    <row r="123" spans="1:6">
      <c r="A123" s="38">
        <f>摸底成績!Q12</f>
        <v>20122133</v>
      </c>
      <c r="B123" s="38">
        <f>摸底成績!R12</f>
        <v>9</v>
      </c>
      <c r="C123" s="36" t="s">
        <v>303</v>
      </c>
      <c r="D123" s="38" t="str">
        <f>摸底成績!S12</f>
        <v>梁啓邦</v>
      </c>
      <c r="E123" s="38">
        <f>摸底成績!T12</f>
        <v>64</v>
      </c>
      <c r="F123" s="20"/>
    </row>
    <row r="124" spans="1:6">
      <c r="A124" s="38">
        <f>摸底成績!Q13</f>
        <v>20230301</v>
      </c>
      <c r="B124" s="38">
        <f>摸底成績!R13</f>
        <v>10</v>
      </c>
      <c r="C124" s="36" t="s">
        <v>303</v>
      </c>
      <c r="D124" s="38" t="str">
        <f>摸底成績!S13</f>
        <v>莊欣怡</v>
      </c>
      <c r="E124" s="38">
        <f>摸底成績!T13</f>
        <v>55</v>
      </c>
      <c r="F124" s="20"/>
    </row>
    <row r="125" spans="1:6">
      <c r="A125" s="38">
        <f>摸底成績!Q14</f>
        <v>20220223</v>
      </c>
      <c r="B125" s="38">
        <f>摸底成績!R14</f>
        <v>11</v>
      </c>
      <c r="C125" s="36" t="s">
        <v>303</v>
      </c>
      <c r="D125" s="38" t="str">
        <f>摸底成績!S14</f>
        <v>莊梓程</v>
      </c>
      <c r="E125" s="38">
        <f>摸底成績!T14</f>
        <v>71.5</v>
      </c>
      <c r="F125" s="20"/>
    </row>
    <row r="126" spans="1:6">
      <c r="A126" s="38">
        <f>摸底成績!Q15</f>
        <v>20163053</v>
      </c>
      <c r="B126" s="38">
        <f>摸底成績!R15</f>
        <v>12</v>
      </c>
      <c r="C126" s="36" t="s">
        <v>303</v>
      </c>
      <c r="D126" s="38" t="str">
        <f>摸底成績!S15</f>
        <v>陳宏杰</v>
      </c>
      <c r="E126" s="38">
        <f>摸底成績!T15</f>
        <v>63</v>
      </c>
      <c r="F126" s="20"/>
    </row>
    <row r="127" spans="1:6">
      <c r="A127" s="38">
        <f>摸底成績!Q16</f>
        <v>20102067</v>
      </c>
      <c r="B127" s="38">
        <f>摸底成績!R16</f>
        <v>13</v>
      </c>
      <c r="C127" s="36" t="s">
        <v>303</v>
      </c>
      <c r="D127" s="38" t="str">
        <f>摸底成績!S16</f>
        <v>陳洛恆</v>
      </c>
      <c r="E127" s="38">
        <f>摸底成績!T16</f>
        <v>53.5</v>
      </c>
      <c r="F127" s="20"/>
    </row>
    <row r="128" spans="1:6">
      <c r="A128" s="38">
        <f>摸底成績!Q17</f>
        <v>20102012</v>
      </c>
      <c r="B128" s="38">
        <f>摸底成績!R17</f>
        <v>14</v>
      </c>
      <c r="C128" s="36" t="s">
        <v>303</v>
      </c>
      <c r="D128" s="38" t="str">
        <f>摸底成績!S17</f>
        <v>陳偉翀</v>
      </c>
      <c r="E128" s="38">
        <f>摸底成績!T17</f>
        <v>82.5</v>
      </c>
      <c r="F128" s="20"/>
    </row>
    <row r="129" spans="1:6">
      <c r="A129" s="38">
        <f>摸底成績!Q18</f>
        <v>20143073</v>
      </c>
      <c r="B129" s="38">
        <f>摸底成績!R18</f>
        <v>15</v>
      </c>
      <c r="C129" s="36" t="s">
        <v>303</v>
      </c>
      <c r="D129" s="38" t="str">
        <f>摸底成績!S18</f>
        <v>陳韵霖</v>
      </c>
      <c r="E129" s="38">
        <f>摸底成績!T18</f>
        <v>75</v>
      </c>
      <c r="F129" s="20"/>
    </row>
    <row r="130" spans="1:6">
      <c r="A130" s="38">
        <f>摸底成績!Q19</f>
        <v>20190103</v>
      </c>
      <c r="B130" s="38">
        <f>摸底成績!R19</f>
        <v>16</v>
      </c>
      <c r="C130" s="36" t="s">
        <v>303</v>
      </c>
      <c r="D130" s="38" t="str">
        <f>摸底成績!S19</f>
        <v>陳綽賢</v>
      </c>
      <c r="E130" s="38">
        <f>摸底成績!T19</f>
        <v>47.5</v>
      </c>
      <c r="F130" s="20"/>
    </row>
    <row r="131" spans="1:6">
      <c r="A131" s="38">
        <f>摸底成績!Q20</f>
        <v>20190210</v>
      </c>
      <c r="B131" s="38">
        <f>摸底成績!R20</f>
        <v>17</v>
      </c>
      <c r="C131" s="36" t="s">
        <v>303</v>
      </c>
      <c r="D131" s="38" t="str">
        <f>摸底成績!S20</f>
        <v>陳澤汶</v>
      </c>
      <c r="E131" s="38">
        <f>摸底成績!T20</f>
        <v>92</v>
      </c>
      <c r="F131" s="20"/>
    </row>
    <row r="132" spans="1:6">
      <c r="A132" s="38">
        <f>摸底成績!Q21</f>
        <v>20230212</v>
      </c>
      <c r="B132" s="38">
        <f>摸底成績!R21</f>
        <v>18</v>
      </c>
      <c r="C132" s="36" t="s">
        <v>303</v>
      </c>
      <c r="D132" s="38" t="str">
        <f>摸底成績!S21</f>
        <v>黃雯楚</v>
      </c>
      <c r="E132" s="38">
        <f>摸底成績!T21</f>
        <v>71.5</v>
      </c>
      <c r="F132" s="20"/>
    </row>
    <row r="133" spans="1:6">
      <c r="A133" s="38">
        <f>摸底成績!Q22</f>
        <v>20180120</v>
      </c>
      <c r="B133" s="38">
        <f>摸底成績!R22</f>
        <v>19</v>
      </c>
      <c r="C133" s="36" t="s">
        <v>303</v>
      </c>
      <c r="D133" s="38" t="str">
        <f>摸底成績!S22</f>
        <v>黃澤森</v>
      </c>
      <c r="E133" s="38">
        <f>摸底成績!T22</f>
        <v>21.5</v>
      </c>
      <c r="F133" s="20"/>
    </row>
    <row r="134" spans="1:6">
      <c r="A134" s="38">
        <f>摸底成績!Q23</f>
        <v>20220100</v>
      </c>
      <c r="B134" s="38">
        <f>摸底成績!R23</f>
        <v>20</v>
      </c>
      <c r="C134" s="36" t="s">
        <v>303</v>
      </c>
      <c r="D134" s="38" t="str">
        <f>摸底成績!S23</f>
        <v>楊霏</v>
      </c>
      <c r="E134" s="38">
        <f>摸底成績!T23</f>
        <v>58.5</v>
      </c>
      <c r="F134" s="20"/>
    </row>
    <row r="135" spans="1:6">
      <c r="A135" s="38">
        <f>摸底成績!Q24</f>
        <v>20190073</v>
      </c>
      <c r="B135" s="38">
        <f>摸底成績!R24</f>
        <v>21</v>
      </c>
      <c r="C135" s="36" t="s">
        <v>303</v>
      </c>
      <c r="D135" s="38" t="str">
        <f>摸底成績!S24</f>
        <v>劉宜鑫</v>
      </c>
      <c r="E135" s="38">
        <f>摸底成績!T24</f>
        <v>58</v>
      </c>
      <c r="F135" s="20"/>
    </row>
    <row r="136" spans="1:6">
      <c r="A136" s="38">
        <f>摸底成績!Q25</f>
        <v>20133021</v>
      </c>
      <c r="B136" s="38">
        <f>摸底成績!R25</f>
        <v>22</v>
      </c>
      <c r="C136" s="36" t="s">
        <v>303</v>
      </c>
      <c r="D136" s="38" t="str">
        <f>摸底成績!S25</f>
        <v>劉俊謙</v>
      </c>
      <c r="E136" s="38">
        <f>摸底成績!T25</f>
        <v>73</v>
      </c>
      <c r="F136" s="20"/>
    </row>
    <row r="137" spans="1:6">
      <c r="A137" s="38">
        <f>摸底成績!Q26</f>
        <v>20122142</v>
      </c>
      <c r="B137" s="38">
        <f>摸底成績!R26</f>
        <v>23</v>
      </c>
      <c r="C137" s="36" t="s">
        <v>303</v>
      </c>
      <c r="D137" s="38" t="str">
        <f>摸底成績!S26</f>
        <v>劉淇峰</v>
      </c>
      <c r="E137" s="38">
        <f>摸底成績!T26</f>
        <v>67.5</v>
      </c>
      <c r="F137" s="20"/>
    </row>
    <row r="138" spans="1:6">
      <c r="A138" s="38">
        <f>摸底成績!Q27</f>
        <v>20163082</v>
      </c>
      <c r="B138" s="38">
        <f>摸底成績!R27</f>
        <v>24</v>
      </c>
      <c r="C138" s="36" t="s">
        <v>303</v>
      </c>
      <c r="D138" s="38" t="str">
        <f>摸底成績!S27</f>
        <v>鄭嘉欣</v>
      </c>
      <c r="E138" s="38">
        <f>摸底成績!T27</f>
        <v>71</v>
      </c>
      <c r="F138" s="20"/>
    </row>
    <row r="139" spans="1:6">
      <c r="A139" s="38">
        <f>摸底成績!Q28</f>
        <v>20102024</v>
      </c>
      <c r="B139" s="38">
        <f>摸底成績!R28</f>
        <v>25</v>
      </c>
      <c r="C139" s="36" t="s">
        <v>303</v>
      </c>
      <c r="D139" s="38" t="str">
        <f>摸底成績!S28</f>
        <v>黎健恆</v>
      </c>
      <c r="E139" s="38">
        <f>摸底成績!T28</f>
        <v>0</v>
      </c>
      <c r="F139" s="20"/>
    </row>
    <row r="140" spans="1:6">
      <c r="A140" s="38">
        <f>摸底成績!Q29</f>
        <v>20210222</v>
      </c>
      <c r="B140" s="38">
        <f>摸底成績!R29</f>
        <v>26</v>
      </c>
      <c r="C140" s="36" t="s">
        <v>303</v>
      </c>
      <c r="D140" s="38" t="str">
        <f>摸底成績!S29</f>
        <v>謝瑞欽</v>
      </c>
      <c r="E140" s="38">
        <f>摸底成績!T29</f>
        <v>40.5</v>
      </c>
      <c r="F140" s="20"/>
    </row>
    <row r="141" spans="1:6">
      <c r="A141" s="38">
        <f>摸底成績!Q30</f>
        <v>20220089</v>
      </c>
      <c r="B141" s="38">
        <f>摸底成績!R30</f>
        <v>27</v>
      </c>
      <c r="C141" s="36" t="s">
        <v>303</v>
      </c>
      <c r="D141" s="38" t="str">
        <f>摸底成績!S30</f>
        <v>羅毅泓</v>
      </c>
      <c r="E141" s="38">
        <f>摸底成績!T30</f>
        <v>62.5</v>
      </c>
      <c r="F141" s="20"/>
    </row>
    <row r="142" spans="1:6">
      <c r="A142" s="39"/>
      <c r="B142" s="39"/>
      <c r="E142" s="38"/>
    </row>
    <row r="143" spans="1:6">
      <c r="A143" s="38">
        <f>摸底成績!U4</f>
        <v>20190231</v>
      </c>
      <c r="B143" s="38">
        <f>摸底成績!V4</f>
        <v>1</v>
      </c>
      <c r="C143" s="36" t="s">
        <v>304</v>
      </c>
      <c r="D143" s="38" t="str">
        <f>摸底成績!W4</f>
        <v>尤欣鈮</v>
      </c>
      <c r="E143" s="38">
        <f>摸底成績!X4</f>
        <v>75.5</v>
      </c>
      <c r="F143" s="20"/>
    </row>
    <row r="144" spans="1:6">
      <c r="A144" s="38">
        <f>摸底成績!U5</f>
        <v>20190004</v>
      </c>
      <c r="B144" s="38">
        <f>摸底成績!V5</f>
        <v>2</v>
      </c>
      <c r="C144" s="36" t="s">
        <v>304</v>
      </c>
      <c r="D144" s="38" t="str">
        <f>摸底成績!W5</f>
        <v>王馨如</v>
      </c>
      <c r="E144" s="38">
        <f>摸底成績!X5</f>
        <v>56.5</v>
      </c>
      <c r="F144" s="20"/>
    </row>
    <row r="145" spans="1:6">
      <c r="A145" s="38">
        <f>摸底成績!U6</f>
        <v>20210122</v>
      </c>
      <c r="B145" s="38">
        <f>摸底成績!V6</f>
        <v>3</v>
      </c>
      <c r="C145" s="36" t="s">
        <v>304</v>
      </c>
      <c r="D145" s="38" t="str">
        <f>摸底成績!W6</f>
        <v>石子伊</v>
      </c>
      <c r="E145" s="38">
        <f>摸底成績!X6</f>
        <v>66</v>
      </c>
      <c r="F145" s="20"/>
    </row>
    <row r="146" spans="1:6">
      <c r="A146" s="38">
        <f>摸底成績!U7</f>
        <v>20220101</v>
      </c>
      <c r="B146" s="38">
        <f>摸底成績!V7</f>
        <v>4</v>
      </c>
      <c r="C146" s="36" t="s">
        <v>304</v>
      </c>
      <c r="D146" s="38" t="str">
        <f>摸底成績!W7</f>
        <v>余珊姍</v>
      </c>
      <c r="E146" s="38">
        <f>摸底成績!X7</f>
        <v>35</v>
      </c>
      <c r="F146" s="20"/>
    </row>
    <row r="147" spans="1:6">
      <c r="A147" s="38">
        <f>摸底成績!U8</f>
        <v>20190012</v>
      </c>
      <c r="B147" s="38">
        <f>摸底成績!V8</f>
        <v>5</v>
      </c>
      <c r="C147" s="36" t="s">
        <v>304</v>
      </c>
      <c r="D147" s="38" t="str">
        <f>摸底成績!W8</f>
        <v>吳詩婷</v>
      </c>
      <c r="E147" s="38">
        <f>摸底成績!X8</f>
        <v>49</v>
      </c>
      <c r="F147" s="20"/>
    </row>
    <row r="148" spans="1:6">
      <c r="A148" s="38">
        <f>摸底成績!U9</f>
        <v>20190063</v>
      </c>
      <c r="B148" s="38">
        <f>摸底成績!V9</f>
        <v>6</v>
      </c>
      <c r="C148" s="36" t="s">
        <v>304</v>
      </c>
      <c r="D148" s="38" t="str">
        <f>摸底成績!W9</f>
        <v>吳艷銘</v>
      </c>
      <c r="E148" s="38">
        <f>摸底成績!X9</f>
        <v>82</v>
      </c>
      <c r="F148" s="20"/>
    </row>
    <row r="149" spans="1:6">
      <c r="A149" s="38">
        <f>摸底成績!U10</f>
        <v>20230310</v>
      </c>
      <c r="B149" s="38">
        <f>摸底成績!V10</f>
        <v>7</v>
      </c>
      <c r="C149" s="36" t="s">
        <v>304</v>
      </c>
      <c r="D149" s="38" t="str">
        <f>摸底成績!W10</f>
        <v>呂靖雯</v>
      </c>
      <c r="E149" s="38">
        <f>摸底成績!X10</f>
        <v>66.5</v>
      </c>
      <c r="F149" s="20"/>
    </row>
    <row r="150" spans="1:6">
      <c r="A150" s="38">
        <f>摸底成績!U11</f>
        <v>20210184</v>
      </c>
      <c r="B150" s="38">
        <f>摸底成績!V11</f>
        <v>8</v>
      </c>
      <c r="C150" s="36" t="s">
        <v>304</v>
      </c>
      <c r="D150" s="38" t="str">
        <f>摸底成績!W11</f>
        <v>阮正坤</v>
      </c>
      <c r="E150" s="38">
        <f>摸底成績!X11</f>
        <v>67.5</v>
      </c>
      <c r="F150" s="20"/>
    </row>
    <row r="151" spans="1:6">
      <c r="A151" s="38">
        <f>摸底成績!U12</f>
        <v>20190163</v>
      </c>
      <c r="B151" s="38">
        <f>摸底成績!V12</f>
        <v>9</v>
      </c>
      <c r="C151" s="36" t="s">
        <v>304</v>
      </c>
      <c r="D151" s="38" t="str">
        <f>摸底成績!W12</f>
        <v>施嘉鑫</v>
      </c>
      <c r="E151" s="38">
        <f>摸底成績!X12</f>
        <v>41</v>
      </c>
      <c r="F151" s="20"/>
    </row>
    <row r="152" spans="1:6">
      <c r="A152" s="38">
        <f>摸底成績!U13</f>
        <v>20190159</v>
      </c>
      <c r="B152" s="38">
        <f>摸底成績!V13</f>
        <v>10</v>
      </c>
      <c r="C152" s="36" t="s">
        <v>304</v>
      </c>
      <c r="D152" s="38" t="str">
        <f>摸底成績!W13</f>
        <v>范永淇</v>
      </c>
      <c r="E152" s="38">
        <f>摸底成績!X13</f>
        <v>72.5</v>
      </c>
      <c r="F152" s="20"/>
    </row>
    <row r="153" spans="1:6">
      <c r="A153" s="38">
        <f>摸底成績!U14</f>
        <v>20153106</v>
      </c>
      <c r="B153" s="38">
        <f>摸底成績!V14</f>
        <v>11</v>
      </c>
      <c r="C153" s="36" t="s">
        <v>304</v>
      </c>
      <c r="D153" s="38" t="str">
        <f>摸底成績!W14</f>
        <v>韋綺婷</v>
      </c>
      <c r="E153" s="38">
        <f>摸底成績!X14</f>
        <v>66.5</v>
      </c>
      <c r="F153" s="20"/>
    </row>
    <row r="154" spans="1:6">
      <c r="A154" s="38">
        <f>摸底成績!U15</f>
        <v>20220069</v>
      </c>
      <c r="B154" s="38">
        <f>摸底成績!V15</f>
        <v>12</v>
      </c>
      <c r="C154" s="36" t="s">
        <v>304</v>
      </c>
      <c r="D154" s="38" t="str">
        <f>摸底成績!W15</f>
        <v>孫芷軒</v>
      </c>
      <c r="E154" s="38">
        <f>摸底成績!X15</f>
        <v>54.5</v>
      </c>
      <c r="F154" s="20"/>
    </row>
    <row r="155" spans="1:6">
      <c r="A155" s="38">
        <f>摸底成績!U16</f>
        <v>20190097</v>
      </c>
      <c r="B155" s="38">
        <f>摸底成績!V16</f>
        <v>13</v>
      </c>
      <c r="C155" s="36" t="s">
        <v>304</v>
      </c>
      <c r="D155" s="38" t="str">
        <f>摸底成績!W16</f>
        <v>晏子洋</v>
      </c>
      <c r="E155" s="38">
        <f>摸底成績!X16</f>
        <v>40</v>
      </c>
      <c r="F155" s="20"/>
    </row>
    <row r="156" spans="1:6">
      <c r="A156" s="38">
        <f>摸底成績!U17</f>
        <v>20163083</v>
      </c>
      <c r="B156" s="38">
        <f>摸底成績!V17</f>
        <v>14</v>
      </c>
      <c r="C156" s="36" t="s">
        <v>304</v>
      </c>
      <c r="D156" s="38" t="str">
        <f>摸底成績!W17</f>
        <v>袁笙軒</v>
      </c>
      <c r="E156" s="38">
        <f>摸底成績!X17</f>
        <v>42</v>
      </c>
      <c r="F156" s="20"/>
    </row>
    <row r="157" spans="1:6">
      <c r="A157" s="38">
        <f>摸底成績!U18</f>
        <v>20220079</v>
      </c>
      <c r="B157" s="38">
        <f>摸底成績!V18</f>
        <v>15</v>
      </c>
      <c r="C157" s="36" t="s">
        <v>304</v>
      </c>
      <c r="D157" s="38" t="str">
        <f>摸底成績!W18</f>
        <v>符晶</v>
      </c>
      <c r="E157" s="38">
        <f>摸底成績!X18</f>
        <v>63.5</v>
      </c>
      <c r="F157" s="20"/>
    </row>
    <row r="158" spans="1:6">
      <c r="A158" s="38">
        <f>摸底成績!U19</f>
        <v>20190006</v>
      </c>
      <c r="B158" s="38">
        <f>摸底成績!V19</f>
        <v>16</v>
      </c>
      <c r="C158" s="36" t="s">
        <v>304</v>
      </c>
      <c r="D158" s="38" t="str">
        <f>摸底成績!W19</f>
        <v>陳靖榆</v>
      </c>
      <c r="E158" s="38">
        <f>摸底成績!X19</f>
        <v>16.5</v>
      </c>
      <c r="F158" s="20"/>
    </row>
    <row r="159" spans="1:6">
      <c r="A159" s="38">
        <f>摸底成績!U20</f>
        <v>20163058</v>
      </c>
      <c r="B159" s="38">
        <f>摸底成績!V20</f>
        <v>17</v>
      </c>
      <c r="C159" s="36" t="s">
        <v>304</v>
      </c>
      <c r="D159" s="38" t="str">
        <f>摸底成績!W20</f>
        <v>陸宏俊</v>
      </c>
      <c r="E159" s="38">
        <f>摸底成績!X20</f>
        <v>34.5</v>
      </c>
      <c r="F159" s="20"/>
    </row>
    <row r="160" spans="1:6">
      <c r="A160" s="38">
        <f>摸底成績!U21</f>
        <v>20102046</v>
      </c>
      <c r="B160" s="38">
        <f>摸底成績!V21</f>
        <v>18</v>
      </c>
      <c r="C160" s="36" t="s">
        <v>304</v>
      </c>
      <c r="D160" s="38" t="str">
        <f>摸底成績!W21</f>
        <v>麥靜遠</v>
      </c>
      <c r="E160" s="38">
        <f>摸底成績!X21</f>
        <v>90</v>
      </c>
      <c r="F160" s="20"/>
    </row>
    <row r="161" spans="1:6">
      <c r="A161" s="38">
        <f>摸底成績!U22</f>
        <v>20190104</v>
      </c>
      <c r="B161" s="38">
        <f>摸底成績!V22</f>
        <v>19</v>
      </c>
      <c r="C161" s="36" t="s">
        <v>304</v>
      </c>
      <c r="D161" s="38" t="str">
        <f>摸底成績!W22</f>
        <v>曾祥宇</v>
      </c>
      <c r="E161" s="38">
        <f>摸底成績!X22</f>
        <v>43</v>
      </c>
      <c r="F161" s="20"/>
    </row>
    <row r="162" spans="1:6">
      <c r="A162" s="38">
        <f>摸底成績!U23</f>
        <v>20200169</v>
      </c>
      <c r="B162" s="38">
        <f>摸底成績!V23</f>
        <v>20</v>
      </c>
      <c r="C162" s="36" t="s">
        <v>304</v>
      </c>
      <c r="D162" s="38" t="str">
        <f>摸底成績!W23</f>
        <v>曾嘉晴</v>
      </c>
      <c r="E162" s="38">
        <f>摸底成績!X23</f>
        <v>56.5</v>
      </c>
      <c r="F162" s="20"/>
    </row>
    <row r="163" spans="1:6">
      <c r="A163" s="38">
        <f>摸底成績!U24</f>
        <v>20170012</v>
      </c>
      <c r="B163" s="38">
        <f>摸底成績!V24</f>
        <v>21</v>
      </c>
      <c r="C163" s="36" t="s">
        <v>304</v>
      </c>
      <c r="D163" s="38" t="str">
        <f>摸底成績!W24</f>
        <v>黃琪煒</v>
      </c>
      <c r="E163" s="38">
        <f>摸底成績!X24</f>
        <v>32.5</v>
      </c>
      <c r="F163" s="20"/>
    </row>
    <row r="164" spans="1:6">
      <c r="A164" s="38">
        <f>摸底成績!U25</f>
        <v>20190017</v>
      </c>
      <c r="B164" s="38">
        <f>摸底成績!V25</f>
        <v>22</v>
      </c>
      <c r="C164" s="36" t="s">
        <v>304</v>
      </c>
      <c r="D164" s="38" t="str">
        <f>摸底成績!W25</f>
        <v>黃楚風</v>
      </c>
      <c r="E164" s="38">
        <f>摸底成績!X25</f>
        <v>29</v>
      </c>
      <c r="F164" s="20"/>
    </row>
    <row r="165" spans="1:6">
      <c r="A165" s="38">
        <f>摸底成績!U26</f>
        <v>20190096</v>
      </c>
      <c r="B165" s="38">
        <f>摸底成績!V26</f>
        <v>23</v>
      </c>
      <c r="C165" s="36" t="s">
        <v>304</v>
      </c>
      <c r="D165" s="38" t="str">
        <f>摸底成績!W26</f>
        <v>黃煜樺</v>
      </c>
      <c r="E165" s="38">
        <f>摸底成績!X26</f>
        <v>43</v>
      </c>
      <c r="F165" s="20"/>
    </row>
    <row r="166" spans="1:6">
      <c r="A166" s="38">
        <f>摸底成績!U27</f>
        <v>20163074</v>
      </c>
      <c r="B166" s="38">
        <f>摸底成績!V27</f>
        <v>24</v>
      </c>
      <c r="C166" s="36" t="s">
        <v>304</v>
      </c>
      <c r="D166" s="38" t="str">
        <f>摸底成績!W27</f>
        <v>寧晨</v>
      </c>
      <c r="E166" s="38">
        <f>摸底成績!X27</f>
        <v>58</v>
      </c>
      <c r="F166" s="20"/>
    </row>
    <row r="167" spans="1:6">
      <c r="A167" s="38">
        <f>摸底成績!U28</f>
        <v>20190034</v>
      </c>
      <c r="B167" s="38">
        <f>摸底成績!V28</f>
        <v>25</v>
      </c>
      <c r="C167" s="36" t="s">
        <v>304</v>
      </c>
      <c r="D167" s="38" t="str">
        <f>摸底成績!W28</f>
        <v>管錦桓</v>
      </c>
      <c r="E167" s="38">
        <f>摸底成績!X28</f>
        <v>61.5</v>
      </c>
      <c r="F167" s="20"/>
    </row>
    <row r="168" spans="1:6">
      <c r="A168" s="38">
        <f>摸底成績!U29</f>
        <v>20122136</v>
      </c>
      <c r="B168" s="38">
        <f>摸底成績!V29</f>
        <v>26</v>
      </c>
      <c r="C168" s="36" t="s">
        <v>304</v>
      </c>
      <c r="D168" s="38" t="str">
        <f>摸底成績!W29</f>
        <v>趙浚鎬</v>
      </c>
      <c r="E168" s="38">
        <f>摸底成績!X29</f>
        <v>31.5</v>
      </c>
      <c r="F168" s="20"/>
    </row>
    <row r="169" spans="1:6">
      <c r="A169" s="38">
        <f>摸底成績!U30</f>
        <v>20190093</v>
      </c>
      <c r="B169" s="38">
        <f>摸底成績!V30</f>
        <v>27</v>
      </c>
      <c r="C169" s="36" t="s">
        <v>304</v>
      </c>
      <c r="D169" s="38" t="str">
        <f>摸底成績!W30</f>
        <v>蔡嘉琪</v>
      </c>
      <c r="E169" s="38">
        <f>摸底成績!X30</f>
        <v>71</v>
      </c>
      <c r="F169" s="20"/>
    </row>
    <row r="170" spans="1:6">
      <c r="A170" s="38">
        <f>摸底成績!U31</f>
        <v>20220098</v>
      </c>
      <c r="B170" s="38">
        <f>摸底成績!V31</f>
        <v>28</v>
      </c>
      <c r="C170" s="36" t="s">
        <v>304</v>
      </c>
      <c r="D170" s="38" t="str">
        <f>摸底成績!W31</f>
        <v>鄧芷喬</v>
      </c>
      <c r="E170" s="38">
        <f>摸底成績!X31</f>
        <v>20.5</v>
      </c>
      <c r="F170" s="20"/>
    </row>
    <row r="171" spans="1:6">
      <c r="A171" s="38">
        <f>摸底成績!U32</f>
        <v>20190077</v>
      </c>
      <c r="B171" s="38">
        <f>摸底成績!V32</f>
        <v>29</v>
      </c>
      <c r="C171" s="36" t="s">
        <v>304</v>
      </c>
      <c r="D171" s="38" t="str">
        <f>摸底成績!W32</f>
        <v>鄭家雯</v>
      </c>
      <c r="E171" s="38">
        <f>摸底成績!X32</f>
        <v>51.5</v>
      </c>
      <c r="F171" s="20"/>
    </row>
    <row r="172" spans="1:6">
      <c r="A172" s="38">
        <f>摸底成績!U33</f>
        <v>20190031</v>
      </c>
      <c r="B172" s="38">
        <f>摸底成績!V33</f>
        <v>30</v>
      </c>
      <c r="C172" s="36" t="s">
        <v>304</v>
      </c>
      <c r="D172" s="38" t="str">
        <f>摸底成績!W33</f>
        <v>謝怡晴</v>
      </c>
      <c r="E172" s="38">
        <f>摸底成績!X33</f>
        <v>34</v>
      </c>
      <c r="F172" s="20"/>
    </row>
    <row r="173" spans="1:6">
      <c r="A173" s="38">
        <f>摸底成績!U34</f>
        <v>20102054</v>
      </c>
      <c r="B173" s="38">
        <f>摸底成績!V34</f>
        <v>31</v>
      </c>
      <c r="C173" s="36" t="s">
        <v>304</v>
      </c>
      <c r="D173" s="38" t="str">
        <f>摸底成績!W34</f>
        <v>譚靖曦</v>
      </c>
      <c r="E173" s="38">
        <f>摸底成績!X34</f>
        <v>79.5</v>
      </c>
      <c r="F173" s="20"/>
    </row>
    <row r="174" spans="1:6">
      <c r="A174" s="38">
        <f>摸底成績!U35</f>
        <v>20190202</v>
      </c>
      <c r="B174" s="38">
        <f>摸底成績!V35</f>
        <v>32</v>
      </c>
      <c r="C174" s="36" t="s">
        <v>304</v>
      </c>
      <c r="D174" s="38" t="str">
        <f>摸底成績!W35</f>
        <v>關焯盈</v>
      </c>
      <c r="E174" s="38">
        <f>摸底成績!X35</f>
        <v>37</v>
      </c>
      <c r="F174" s="20"/>
    </row>
    <row r="175" spans="1:6">
      <c r="A175" s="38">
        <f>摸底成績!U36</f>
        <v>20220067</v>
      </c>
      <c r="B175" s="38">
        <f>摸底成績!V36</f>
        <v>33</v>
      </c>
      <c r="C175" s="36" t="s">
        <v>304</v>
      </c>
      <c r="D175" s="38" t="str">
        <f>摸底成績!W36</f>
        <v>蘇梓謙</v>
      </c>
      <c r="E175" s="38">
        <f>摸底成績!X36</f>
        <v>56.5</v>
      </c>
      <c r="F175" s="20"/>
    </row>
    <row r="176" spans="1:6">
      <c r="A176" s="39"/>
      <c r="B176" s="39"/>
      <c r="E176" s="38"/>
    </row>
    <row r="177" spans="1:6">
      <c r="A177" s="38">
        <f>摸底成績!Y4</f>
        <v>20190028</v>
      </c>
      <c r="B177" s="38">
        <f>摸底成績!Z4</f>
        <v>1</v>
      </c>
      <c r="C177" s="36" t="s">
        <v>305</v>
      </c>
      <c r="D177" s="38" t="str">
        <f>摸底成績!AA4</f>
        <v>王楚怡</v>
      </c>
      <c r="E177" s="38">
        <f>摸底成績!AB4</f>
        <v>28.5</v>
      </c>
      <c r="F177" s="20"/>
    </row>
    <row r="178" spans="1:6">
      <c r="A178" s="38">
        <f>摸底成績!Y5</f>
        <v>20122143</v>
      </c>
      <c r="B178" s="38">
        <f>摸底成績!Z5</f>
        <v>2</v>
      </c>
      <c r="C178" s="36" t="s">
        <v>305</v>
      </c>
      <c r="D178" s="38" t="str">
        <f>摸底成績!AA5</f>
        <v>叶浩釗</v>
      </c>
      <c r="E178" s="38">
        <f>摸底成績!AB5</f>
        <v>76.5</v>
      </c>
      <c r="F178" s="20"/>
    </row>
    <row r="179" spans="1:6">
      <c r="A179" s="38">
        <f>摸底成績!Y6</f>
        <v>20133052</v>
      </c>
      <c r="B179" s="38">
        <f>摸底成績!Z6</f>
        <v>3</v>
      </c>
      <c r="C179" s="36" t="s">
        <v>305</v>
      </c>
      <c r="D179" s="38" t="str">
        <f>摸底成績!AA6</f>
        <v>伍錦稀</v>
      </c>
      <c r="E179" s="38">
        <f>摸底成績!AB6</f>
        <v>42</v>
      </c>
      <c r="F179" s="20"/>
    </row>
    <row r="180" spans="1:6">
      <c r="A180" s="38">
        <f>摸底成績!Y7</f>
        <v>20102002</v>
      </c>
      <c r="B180" s="38">
        <f>摸底成績!Z7</f>
        <v>4</v>
      </c>
      <c r="C180" s="36" t="s">
        <v>305</v>
      </c>
      <c r="D180" s="38" t="str">
        <f>摸底成績!AA7</f>
        <v>朱詠錡</v>
      </c>
      <c r="E180" s="38">
        <f>摸底成績!AB7</f>
        <v>82.5</v>
      </c>
      <c r="F180" s="20"/>
    </row>
    <row r="181" spans="1:6">
      <c r="A181" s="38">
        <f>摸底成績!Y8</f>
        <v>20190236</v>
      </c>
      <c r="B181" s="38">
        <f>摸底成績!Z8</f>
        <v>5</v>
      </c>
      <c r="C181" s="36" t="s">
        <v>305</v>
      </c>
      <c r="D181" s="38" t="str">
        <f>摸底成績!AA8</f>
        <v>江庭瀚</v>
      </c>
      <c r="E181" s="38">
        <f>摸底成績!AB8</f>
        <v>33.5</v>
      </c>
      <c r="F181" s="20"/>
    </row>
    <row r="182" spans="1:6">
      <c r="A182" s="38">
        <f>摸底成績!Y9</f>
        <v>20163044</v>
      </c>
      <c r="B182" s="38">
        <f>摸底成績!Z9</f>
        <v>6</v>
      </c>
      <c r="C182" s="36" t="s">
        <v>305</v>
      </c>
      <c r="D182" s="38" t="str">
        <f>摸底成績!AA9</f>
        <v>何鎔熙</v>
      </c>
      <c r="E182" s="38">
        <f>摸底成績!AB9</f>
        <v>31.5</v>
      </c>
      <c r="F182" s="20"/>
    </row>
    <row r="183" spans="1:6">
      <c r="A183" s="38">
        <f>摸底成績!Y10</f>
        <v>20190213</v>
      </c>
      <c r="B183" s="38">
        <f>摸底成績!Z10</f>
        <v>7</v>
      </c>
      <c r="C183" s="36" t="s">
        <v>305</v>
      </c>
      <c r="D183" s="38" t="str">
        <f>摸底成績!AA10</f>
        <v>吳思婷</v>
      </c>
      <c r="E183" s="38">
        <f>摸底成績!AB10</f>
        <v>37</v>
      </c>
      <c r="F183" s="20"/>
    </row>
    <row r="184" spans="1:6">
      <c r="A184" s="38">
        <f>摸底成績!Y11</f>
        <v>20220228</v>
      </c>
      <c r="B184" s="38">
        <f>摸底成績!Z11</f>
        <v>8</v>
      </c>
      <c r="C184" s="36" t="s">
        <v>305</v>
      </c>
      <c r="D184" s="38" t="str">
        <f>摸底成績!AA11</f>
        <v>吳騏彤</v>
      </c>
      <c r="E184" s="38">
        <f>摸底成績!AB11</f>
        <v>66</v>
      </c>
      <c r="F184" s="20"/>
    </row>
    <row r="185" spans="1:6">
      <c r="A185" s="38">
        <f>摸底成績!Y12</f>
        <v>20173024</v>
      </c>
      <c r="B185" s="38">
        <f>摸底成績!Z12</f>
        <v>9</v>
      </c>
      <c r="C185" s="36" t="s">
        <v>305</v>
      </c>
      <c r="D185" s="38" t="str">
        <f>摸底成績!AA12</f>
        <v>李伊聖</v>
      </c>
      <c r="E185" s="38">
        <f>摸底成績!AB12</f>
        <v>42</v>
      </c>
      <c r="F185" s="20"/>
    </row>
    <row r="186" spans="1:6">
      <c r="A186" s="38">
        <f>摸底成績!Y13</f>
        <v>20102063</v>
      </c>
      <c r="B186" s="38">
        <f>摸底成績!Z13</f>
        <v>10</v>
      </c>
      <c r="C186" s="36" t="s">
        <v>305</v>
      </c>
      <c r="D186" s="38" t="str">
        <f>摸底成績!AA13</f>
        <v>施美言</v>
      </c>
      <c r="E186" s="38">
        <f>摸底成績!AB13</f>
        <v>51</v>
      </c>
      <c r="F186" s="20"/>
    </row>
    <row r="187" spans="1:6">
      <c r="A187" s="38">
        <f>摸底成績!Y14</f>
        <v>20102009</v>
      </c>
      <c r="B187" s="38">
        <f>摸底成績!Z14</f>
        <v>11</v>
      </c>
      <c r="C187" s="36" t="s">
        <v>305</v>
      </c>
      <c r="D187" s="38" t="str">
        <f>摸底成績!AA14</f>
        <v>韋采倩</v>
      </c>
      <c r="E187" s="38">
        <f>摸底成績!AB14</f>
        <v>60.5</v>
      </c>
      <c r="F187" s="20"/>
    </row>
    <row r="188" spans="1:6">
      <c r="A188" s="38">
        <f>摸底成績!Y15</f>
        <v>20230315</v>
      </c>
      <c r="B188" s="38">
        <f>摸底成績!Z15</f>
        <v>12</v>
      </c>
      <c r="C188" s="36" t="s">
        <v>305</v>
      </c>
      <c r="D188" s="38" t="str">
        <f>摸底成績!AA15</f>
        <v>夏清逸</v>
      </c>
      <c r="E188" s="38">
        <f>摸底成績!AB15</f>
        <v>22.5</v>
      </c>
      <c r="F188" s="20"/>
    </row>
    <row r="189" spans="1:6">
      <c r="A189" s="38">
        <f>摸底成績!Y16</f>
        <v>20190187</v>
      </c>
      <c r="B189" s="38">
        <f>摸底成績!Z16</f>
        <v>13</v>
      </c>
      <c r="C189" s="36" t="s">
        <v>305</v>
      </c>
      <c r="D189" s="38" t="str">
        <f>摸底成績!AA16</f>
        <v>马一龙</v>
      </c>
      <c r="E189" s="38">
        <f>摸底成績!AB16</f>
        <v>53</v>
      </c>
      <c r="F189" s="20"/>
    </row>
    <row r="190" spans="1:6">
      <c r="A190" s="38">
        <f>摸底成績!Y17</f>
        <v>20220065</v>
      </c>
      <c r="B190" s="38">
        <f>摸底成績!Z17</f>
        <v>14</v>
      </c>
      <c r="C190" s="36" t="s">
        <v>305</v>
      </c>
      <c r="D190" s="38" t="str">
        <f>摸底成績!AA17</f>
        <v>馬曉晴</v>
      </c>
      <c r="E190" s="38">
        <f>摸底成績!AB17</f>
        <v>53.5</v>
      </c>
      <c r="F190" s="20"/>
    </row>
    <row r="191" spans="1:6">
      <c r="A191" s="38">
        <f>摸底成績!Y18</f>
        <v>20180127</v>
      </c>
      <c r="B191" s="38">
        <f>摸底成績!Z18</f>
        <v>15</v>
      </c>
      <c r="C191" s="36" t="s">
        <v>305</v>
      </c>
      <c r="D191" s="38" t="str">
        <f>摸底成績!AA18</f>
        <v>梁球寶</v>
      </c>
      <c r="E191" s="38">
        <f>摸底成績!AB18</f>
        <v>11</v>
      </c>
      <c r="F191" s="20"/>
    </row>
    <row r="192" spans="1:6">
      <c r="A192" s="38">
        <f>摸底成績!Y19</f>
        <v>20102041</v>
      </c>
      <c r="B192" s="38">
        <f>摸底成績!Z19</f>
        <v>16</v>
      </c>
      <c r="C192" s="36" t="s">
        <v>305</v>
      </c>
      <c r="D192" s="38" t="str">
        <f>摸底成績!AA19</f>
        <v>梅綺婷</v>
      </c>
      <c r="E192" s="38">
        <f>摸底成績!AB19</f>
        <v>51</v>
      </c>
      <c r="F192" s="20"/>
    </row>
    <row r="193" spans="1:6">
      <c r="A193" s="38">
        <f>摸底成績!Y20</f>
        <v>20133029</v>
      </c>
      <c r="B193" s="38">
        <f>摸底成績!Z20</f>
        <v>17</v>
      </c>
      <c r="C193" s="36" t="s">
        <v>305</v>
      </c>
      <c r="D193" s="38" t="str">
        <f>摸底成績!AA20</f>
        <v>畢禧添</v>
      </c>
      <c r="E193" s="38">
        <f>摸底成績!AB20</f>
        <v>56.5</v>
      </c>
      <c r="F193" s="20"/>
    </row>
    <row r="194" spans="1:6">
      <c r="A194" s="38">
        <f>摸底成績!Y21</f>
        <v>20220170</v>
      </c>
      <c r="B194" s="38">
        <f>摸底成績!Z21</f>
        <v>18</v>
      </c>
      <c r="C194" s="36" t="s">
        <v>305</v>
      </c>
      <c r="D194" s="38" t="str">
        <f>摸底成績!AA21</f>
        <v>許佳瑩</v>
      </c>
      <c r="E194" s="38">
        <f>摸底成績!AB21</f>
        <v>40</v>
      </c>
      <c r="F194" s="20"/>
    </row>
    <row r="195" spans="1:6">
      <c r="A195" s="38">
        <f>摸底成績!Y22</f>
        <v>20190030</v>
      </c>
      <c r="B195" s="38">
        <f>摸底成績!Z22</f>
        <v>19</v>
      </c>
      <c r="C195" s="36" t="s">
        <v>305</v>
      </c>
      <c r="D195" s="38" t="str">
        <f>摸底成績!AA22</f>
        <v>陳子悅</v>
      </c>
      <c r="E195" s="38">
        <f>摸底成績!AB22</f>
        <v>58</v>
      </c>
      <c r="F195" s="20"/>
    </row>
    <row r="196" spans="1:6">
      <c r="A196" s="38">
        <f>摸底成績!Y23</f>
        <v>20143105</v>
      </c>
      <c r="B196" s="38">
        <f>摸底成績!Z23</f>
        <v>20</v>
      </c>
      <c r="C196" s="36" t="s">
        <v>305</v>
      </c>
      <c r="D196" s="38" t="str">
        <f>摸底成績!AA23</f>
        <v>陳浩澤</v>
      </c>
      <c r="E196" s="38">
        <f>摸底成績!AB23</f>
        <v>61.5</v>
      </c>
      <c r="F196" s="20"/>
    </row>
    <row r="197" spans="1:6">
      <c r="A197" s="38">
        <f>摸底成績!Y24</f>
        <v>20220056</v>
      </c>
      <c r="B197" s="38">
        <f>摸底成績!Z24</f>
        <v>21</v>
      </c>
      <c r="C197" s="36" t="s">
        <v>305</v>
      </c>
      <c r="D197" s="38" t="str">
        <f>摸底成績!AA24</f>
        <v>湛心怡</v>
      </c>
      <c r="E197" s="38">
        <f>摸底成績!AB24</f>
        <v>50</v>
      </c>
      <c r="F197" s="20"/>
    </row>
    <row r="198" spans="1:6">
      <c r="A198" s="38">
        <f>摸底成績!Y25</f>
        <v>20153058</v>
      </c>
      <c r="B198" s="38">
        <f>摸底成績!Z25</f>
        <v>22</v>
      </c>
      <c r="C198" s="36" t="s">
        <v>305</v>
      </c>
      <c r="D198" s="38" t="str">
        <f>摸底成績!AA25</f>
        <v>黃心言</v>
      </c>
      <c r="E198" s="38">
        <f>摸底成績!AB25</f>
        <v>68.5</v>
      </c>
      <c r="F198" s="20"/>
    </row>
    <row r="199" spans="1:6">
      <c r="A199" s="38">
        <f>摸底成績!Y26</f>
        <v>20190206</v>
      </c>
      <c r="B199" s="38">
        <f>摸底成績!Z26</f>
        <v>23</v>
      </c>
      <c r="C199" s="36" t="s">
        <v>305</v>
      </c>
      <c r="D199" s="38" t="str">
        <f>摸底成績!AA26</f>
        <v>黃俊美</v>
      </c>
      <c r="E199" s="38">
        <f>摸底成績!AB26</f>
        <v>56.5</v>
      </c>
      <c r="F199" s="20"/>
    </row>
    <row r="200" spans="1:6">
      <c r="A200" s="38">
        <f>摸底成績!Y27</f>
        <v>20210195</v>
      </c>
      <c r="B200" s="38">
        <f>摸底成績!Z27</f>
        <v>24</v>
      </c>
      <c r="C200" s="36" t="s">
        <v>305</v>
      </c>
      <c r="D200" s="38" t="str">
        <f>摸底成績!AA27</f>
        <v>蔡佳宜</v>
      </c>
      <c r="E200" s="38">
        <f>摸底成績!AB27</f>
        <v>46.5</v>
      </c>
      <c r="F200" s="20"/>
    </row>
    <row r="201" spans="1:6">
      <c r="A201" s="38">
        <f>摸底成績!Y28</f>
        <v>20123048</v>
      </c>
      <c r="B201" s="38">
        <f>摸底成績!Z28</f>
        <v>25</v>
      </c>
      <c r="C201" s="36" t="s">
        <v>305</v>
      </c>
      <c r="D201" s="38" t="str">
        <f>摸底成績!AA28</f>
        <v>蔣顏琪</v>
      </c>
      <c r="E201" s="38">
        <f>摸底成績!AB28</f>
        <v>56</v>
      </c>
      <c r="F201" s="20"/>
    </row>
    <row r="202" spans="1:6">
      <c r="A202" s="38">
        <f>摸底成績!Y29</f>
        <v>20180027</v>
      </c>
      <c r="B202" s="38">
        <f>摸底成績!Z29</f>
        <v>26</v>
      </c>
      <c r="C202" s="36" t="s">
        <v>305</v>
      </c>
      <c r="D202" s="38" t="str">
        <f>摸底成績!AA29</f>
        <v>鄭佳鴻</v>
      </c>
      <c r="E202" s="38">
        <f>摸底成績!AB29</f>
        <v>32.5</v>
      </c>
      <c r="F202" s="20"/>
    </row>
    <row r="203" spans="1:6">
      <c r="A203" s="38">
        <f>摸底成績!Y30</f>
        <v>20190215</v>
      </c>
      <c r="B203" s="38">
        <f>摸底成績!Z30</f>
        <v>27</v>
      </c>
      <c r="C203" s="36" t="s">
        <v>305</v>
      </c>
      <c r="D203" s="38" t="str">
        <f>摸底成績!AA30</f>
        <v>黎可盈</v>
      </c>
      <c r="E203" s="38">
        <f>摸底成績!AB30</f>
        <v>45.5</v>
      </c>
      <c r="F203" s="20"/>
    </row>
    <row r="204" spans="1:6">
      <c r="A204" s="38">
        <f>摸底成績!Y31</f>
        <v>20220151</v>
      </c>
      <c r="B204" s="38">
        <f>摸底成績!Z31</f>
        <v>28</v>
      </c>
      <c r="C204" s="36" t="s">
        <v>305</v>
      </c>
      <c r="D204" s="38" t="str">
        <f>摸底成績!AA31</f>
        <v>羅政軒</v>
      </c>
      <c r="E204" s="38">
        <f>摸底成績!AB31</f>
        <v>23</v>
      </c>
      <c r="F204" s="20"/>
    </row>
    <row r="205" spans="1:6">
      <c r="A205" s="38">
        <f>摸底成績!Y32</f>
        <v>20190002</v>
      </c>
      <c r="B205" s="38">
        <f>摸底成績!Z32</f>
        <v>29</v>
      </c>
      <c r="C205" s="36" t="s">
        <v>305</v>
      </c>
      <c r="D205" s="38" t="str">
        <f>摸底成績!AA32</f>
        <v>譚幸瑜</v>
      </c>
      <c r="E205" s="38">
        <f>摸底成績!AB32</f>
        <v>40.5</v>
      </c>
      <c r="F205" s="20"/>
    </row>
    <row r="206" spans="1:6">
      <c r="A206" s="38">
        <f>摸底成績!Y33</f>
        <v>20102079</v>
      </c>
      <c r="B206" s="38">
        <f>摸底成績!Z33</f>
        <v>30</v>
      </c>
      <c r="C206" s="36" t="s">
        <v>305</v>
      </c>
      <c r="D206" s="38" t="str">
        <f>摸底成績!AA33</f>
        <v>譚俊杰</v>
      </c>
      <c r="E206" s="38">
        <f>摸底成績!AB33</f>
        <v>72</v>
      </c>
      <c r="F206" s="20"/>
    </row>
    <row r="207" spans="1:6">
      <c r="A207" s="38">
        <f>摸底成績!Y34</f>
        <v>20143082</v>
      </c>
      <c r="B207" s="38">
        <f>摸底成績!Z34</f>
        <v>31</v>
      </c>
      <c r="C207" s="36" t="s">
        <v>305</v>
      </c>
      <c r="D207" s="38" t="str">
        <f>摸底成績!AA34</f>
        <v>譚靖筠</v>
      </c>
      <c r="E207" s="38">
        <f>摸底成績!AB34</f>
        <v>82.5</v>
      </c>
      <c r="F207" s="20"/>
    </row>
    <row r="208" spans="1:6">
      <c r="A208" s="38">
        <f>摸底成績!Y35</f>
        <v>20102055</v>
      </c>
      <c r="B208" s="38">
        <f>摸底成績!Z35</f>
        <v>32</v>
      </c>
      <c r="C208" s="36" t="s">
        <v>305</v>
      </c>
      <c r="D208" s="38" t="str">
        <f>摸底成績!AA35</f>
        <v>關智軒</v>
      </c>
      <c r="E208" s="38">
        <f>摸底成績!AB35</f>
        <v>64</v>
      </c>
      <c r="F208" s="20"/>
    </row>
    <row r="209" spans="1:6">
      <c r="A209" s="38">
        <f>摸底成績!Y36</f>
        <v>20200213</v>
      </c>
      <c r="B209" s="38">
        <f>摸底成績!Z36</f>
        <v>33</v>
      </c>
      <c r="C209" s="36" t="s">
        <v>305</v>
      </c>
      <c r="D209" s="38" t="str">
        <f>摸底成績!AA36</f>
        <v>龐軼文</v>
      </c>
      <c r="E209" s="38">
        <f>摸底成績!AB36</f>
        <v>71.5</v>
      </c>
      <c r="F209" s="20"/>
    </row>
    <row r="210" spans="1:6">
      <c r="A210" s="38">
        <f>摸底成績!Y37</f>
        <v>20180070</v>
      </c>
      <c r="B210" s="38">
        <f>摸底成績!Z37</f>
        <v>34</v>
      </c>
      <c r="C210" s="36" t="s">
        <v>305</v>
      </c>
      <c r="D210" s="38" t="str">
        <f>摸底成績!AA37</f>
        <v>歐陽敏怡</v>
      </c>
      <c r="E210" s="38">
        <f>摸底成績!AB37</f>
        <v>56</v>
      </c>
      <c r="F210" s="20"/>
    </row>
    <row r="211" spans="1:6">
      <c r="A211" s="39"/>
      <c r="B211" s="39"/>
      <c r="E211" s="38"/>
    </row>
    <row r="212" spans="1:6">
      <c r="A212" s="38">
        <f>摸底成績!AC4</f>
        <v>20220088</v>
      </c>
      <c r="B212" s="38">
        <f>摸底成績!AD4</f>
        <v>1</v>
      </c>
      <c r="C212" s="36" t="s">
        <v>306</v>
      </c>
      <c r="D212" s="38" t="str">
        <f>摸底成績!AE4</f>
        <v>王語</v>
      </c>
      <c r="E212" s="38">
        <f>摸底成績!AF4</f>
        <v>57</v>
      </c>
      <c r="F212" s="20"/>
    </row>
    <row r="213" spans="1:6">
      <c r="A213" s="38">
        <f>摸底成績!AC5</f>
        <v>20190046</v>
      </c>
      <c r="B213" s="38">
        <f>摸底成績!AD5</f>
        <v>2</v>
      </c>
      <c r="C213" s="36" t="s">
        <v>306</v>
      </c>
      <c r="D213" s="38" t="str">
        <f>摸底成績!AE5</f>
        <v>吳詠欣</v>
      </c>
      <c r="E213" s="38">
        <f>摸底成績!AF5</f>
        <v>33</v>
      </c>
      <c r="F213" s="20"/>
    </row>
    <row r="214" spans="1:6">
      <c r="A214" s="38">
        <f>摸底成績!AC6</f>
        <v>20220164</v>
      </c>
      <c r="B214" s="38">
        <f>摸底成績!AD6</f>
        <v>3</v>
      </c>
      <c r="C214" s="36" t="s">
        <v>306</v>
      </c>
      <c r="D214" s="38" t="str">
        <f>摸底成績!AE6</f>
        <v>吳曉寧</v>
      </c>
      <c r="E214" s="38">
        <f>摸底成績!AF6</f>
        <v>87.5</v>
      </c>
      <c r="F214" s="20"/>
    </row>
    <row r="215" spans="1:6">
      <c r="A215" s="38">
        <f>摸底成績!AC7</f>
        <v>20180063</v>
      </c>
      <c r="B215" s="38">
        <f>摸底成績!AD7</f>
        <v>4</v>
      </c>
      <c r="C215" s="36" t="s">
        <v>306</v>
      </c>
      <c r="D215" s="38" t="str">
        <f>摸底成績!AE7</f>
        <v>呂善怡</v>
      </c>
      <c r="E215" s="38">
        <f>摸底成績!AF7</f>
        <v>35.5</v>
      </c>
      <c r="F215" s="20"/>
    </row>
    <row r="216" spans="1:6">
      <c r="A216" s="38">
        <f>摸底成績!AC8</f>
        <v>20220225</v>
      </c>
      <c r="B216" s="38">
        <f>摸底成績!AD8</f>
        <v>5</v>
      </c>
      <c r="C216" s="36" t="s">
        <v>306</v>
      </c>
      <c r="D216" s="38" t="str">
        <f>摸底成績!AE8</f>
        <v>李方萌</v>
      </c>
      <c r="E216" s="38">
        <f>摸底成績!AF8</f>
        <v>74</v>
      </c>
      <c r="F216" s="20"/>
    </row>
    <row r="217" spans="1:6">
      <c r="A217" s="38">
        <f>摸底成績!AC9</f>
        <v>20220059</v>
      </c>
      <c r="B217" s="38">
        <f>摸底成績!AD9</f>
        <v>6</v>
      </c>
      <c r="C217" s="36" t="s">
        <v>306</v>
      </c>
      <c r="D217" s="38" t="str">
        <f>摸底成績!AE9</f>
        <v>李宛霖</v>
      </c>
      <c r="E217" s="38">
        <f>摸底成績!AF9</f>
        <v>56</v>
      </c>
      <c r="F217" s="20"/>
    </row>
    <row r="218" spans="1:6">
      <c r="A218" s="38">
        <f>摸底成績!AC10</f>
        <v>20143015</v>
      </c>
      <c r="B218" s="38">
        <f>摸底成績!AD10</f>
        <v>7</v>
      </c>
      <c r="C218" s="36" t="s">
        <v>306</v>
      </c>
      <c r="D218" s="38" t="str">
        <f>摸底成績!AE10</f>
        <v>李楚潼</v>
      </c>
      <c r="E218" s="38">
        <f>摸底成績!AF10</f>
        <v>82.5</v>
      </c>
      <c r="F218" s="20"/>
    </row>
    <row r="219" spans="1:6">
      <c r="A219" s="38">
        <f>摸底成績!AC11</f>
        <v>20220166</v>
      </c>
      <c r="B219" s="38">
        <f>摸底成績!AD11</f>
        <v>8</v>
      </c>
      <c r="C219" s="36" t="s">
        <v>306</v>
      </c>
      <c r="D219" s="38" t="str">
        <f>摸底成績!AE11</f>
        <v>林心悅</v>
      </c>
      <c r="E219" s="38">
        <f>摸底成績!AF11</f>
        <v>58</v>
      </c>
      <c r="F219" s="20"/>
    </row>
    <row r="220" spans="1:6">
      <c r="A220" s="38">
        <f>摸底成績!AC12</f>
        <v>20210160</v>
      </c>
      <c r="B220" s="38">
        <f>摸底成績!AD12</f>
        <v>9</v>
      </c>
      <c r="C220" s="36" t="s">
        <v>306</v>
      </c>
      <c r="D220" s="38" t="str">
        <f>摸底成績!AE12</f>
        <v>林志洵</v>
      </c>
      <c r="E220" s="38">
        <f>摸底成績!AF12</f>
        <v>88</v>
      </c>
      <c r="F220" s="20"/>
    </row>
    <row r="221" spans="1:6">
      <c r="A221" s="38">
        <f>摸底成績!AC13</f>
        <v>20163052</v>
      </c>
      <c r="B221" s="38">
        <f>摸底成績!AD13</f>
        <v>10</v>
      </c>
      <c r="C221" s="36" t="s">
        <v>306</v>
      </c>
      <c r="D221" s="38" t="str">
        <f>摸底成績!AE13</f>
        <v>高柏研</v>
      </c>
      <c r="E221" s="38">
        <f>摸底成績!AF13</f>
        <v>77.5</v>
      </c>
      <c r="F221" s="20"/>
    </row>
    <row r="222" spans="1:6">
      <c r="A222" s="38">
        <f>摸底成績!AC14</f>
        <v>20210119</v>
      </c>
      <c r="B222" s="38">
        <f>摸底成績!AD14</f>
        <v>11</v>
      </c>
      <c r="C222" s="36" t="s">
        <v>306</v>
      </c>
      <c r="D222" s="38" t="str">
        <f>摸底成績!AE14</f>
        <v>區愷迎</v>
      </c>
      <c r="E222" s="38">
        <f>摸底成績!AF14</f>
        <v>72.5</v>
      </c>
      <c r="F222" s="20"/>
    </row>
    <row r="223" spans="1:6">
      <c r="A223" s="38">
        <f>摸底成績!AC15</f>
        <v>20180080</v>
      </c>
      <c r="B223" s="38">
        <f>摸底成績!AD15</f>
        <v>12</v>
      </c>
      <c r="C223" s="36" t="s">
        <v>306</v>
      </c>
      <c r="D223" s="38" t="str">
        <f>摸底成績!AE15</f>
        <v>崔婉瑩</v>
      </c>
      <c r="E223" s="38">
        <f>摸底成績!AF15</f>
        <v>41</v>
      </c>
      <c r="F223" s="20"/>
    </row>
    <row r="224" spans="1:6">
      <c r="A224" s="38">
        <f>摸底成績!AC16</f>
        <v>20173036</v>
      </c>
      <c r="B224" s="38">
        <f>摸底成績!AD16</f>
        <v>13</v>
      </c>
      <c r="C224" s="36" t="s">
        <v>306</v>
      </c>
      <c r="D224" s="38" t="str">
        <f>摸底成績!AE16</f>
        <v>巢鎮鎬</v>
      </c>
      <c r="E224" s="38">
        <f>摸底成績!AF16</f>
        <v>73</v>
      </c>
      <c r="F224" s="20"/>
    </row>
    <row r="225" spans="1:6">
      <c r="A225" s="38">
        <f>摸底成績!AC17</f>
        <v>20133018</v>
      </c>
      <c r="B225" s="38">
        <f>摸底成績!AD17</f>
        <v>14</v>
      </c>
      <c r="C225" s="36" t="s">
        <v>306</v>
      </c>
      <c r="D225" s="38" t="str">
        <f>摸底成績!AE17</f>
        <v>張正鋒</v>
      </c>
      <c r="E225" s="38">
        <f>摸底成績!AF17</f>
        <v>64.5</v>
      </c>
      <c r="F225" s="20"/>
    </row>
    <row r="226" spans="1:6">
      <c r="A226" s="38">
        <f>摸底成績!AC18</f>
        <v>20220172</v>
      </c>
      <c r="B226" s="38">
        <f>摸底成績!AD18</f>
        <v>15</v>
      </c>
      <c r="C226" s="36" t="s">
        <v>306</v>
      </c>
      <c r="D226" s="38" t="str">
        <f>摸底成績!AE18</f>
        <v>張誠睿</v>
      </c>
      <c r="E226" s="38">
        <f>摸底成績!AF18</f>
        <v>56.5</v>
      </c>
      <c r="F226" s="20"/>
    </row>
    <row r="227" spans="1:6">
      <c r="A227" s="38">
        <f>摸底成績!AC19</f>
        <v>20190040</v>
      </c>
      <c r="B227" s="38">
        <f>摸底成績!AD19</f>
        <v>16</v>
      </c>
      <c r="C227" s="36" t="s">
        <v>306</v>
      </c>
      <c r="D227" s="38" t="str">
        <f>摸底成績!AE19</f>
        <v>張燕姿</v>
      </c>
      <c r="E227" s="38">
        <f>摸底成績!AF19</f>
        <v>42</v>
      </c>
      <c r="F227" s="20"/>
    </row>
    <row r="228" spans="1:6">
      <c r="A228" s="38">
        <f>摸底成績!AC20</f>
        <v>20102038</v>
      </c>
      <c r="B228" s="38">
        <f>摸底成績!AD20</f>
        <v>17</v>
      </c>
      <c r="C228" s="36" t="s">
        <v>306</v>
      </c>
      <c r="D228" s="38" t="str">
        <f>摸底成績!AE20</f>
        <v>梁宇斯</v>
      </c>
      <c r="E228" s="38">
        <f>摸底成績!AF20</f>
        <v>64</v>
      </c>
      <c r="F228" s="20"/>
    </row>
    <row r="229" spans="1:6">
      <c r="A229" s="38">
        <f>摸底成績!AC21</f>
        <v>20163041</v>
      </c>
      <c r="B229" s="38">
        <f>摸底成績!AD21</f>
        <v>18</v>
      </c>
      <c r="C229" s="36" t="s">
        <v>306</v>
      </c>
      <c r="D229" s="38" t="str">
        <f>摸底成績!AE21</f>
        <v>梁梓豪</v>
      </c>
      <c r="E229" s="38">
        <f>摸底成績!AF21</f>
        <v>48</v>
      </c>
      <c r="F229" s="20"/>
    </row>
    <row r="230" spans="1:6">
      <c r="A230" s="38">
        <f>摸底成績!AC22</f>
        <v>20102040</v>
      </c>
      <c r="B230" s="38">
        <f>摸底成績!AD22</f>
        <v>19</v>
      </c>
      <c r="C230" s="36" t="s">
        <v>306</v>
      </c>
      <c r="D230" s="38" t="str">
        <f>摸底成績!AE22</f>
        <v>梁碧怡</v>
      </c>
      <c r="E230" s="38">
        <f>摸底成績!AF22</f>
        <v>89.5</v>
      </c>
      <c r="F230" s="20"/>
    </row>
    <row r="231" spans="1:6">
      <c r="A231" s="38">
        <f>摸底成績!AC23</f>
        <v>20123047</v>
      </c>
      <c r="B231" s="38">
        <f>摸底成績!AD23</f>
        <v>20</v>
      </c>
      <c r="C231" s="36" t="s">
        <v>306</v>
      </c>
      <c r="D231" s="38" t="str">
        <f>摸底成績!AE23</f>
        <v>郭倩玟</v>
      </c>
      <c r="E231" s="38">
        <f>摸底成績!AF23</f>
        <v>39</v>
      </c>
      <c r="F231" s="20"/>
    </row>
    <row r="232" spans="1:6">
      <c r="A232" s="38">
        <f>摸底成績!AC24</f>
        <v>20143085</v>
      </c>
      <c r="B232" s="38">
        <f>摸底成績!AD24</f>
        <v>21</v>
      </c>
      <c r="C232" s="36" t="s">
        <v>306</v>
      </c>
      <c r="D232" s="38" t="str">
        <f>摸底成績!AE24</f>
        <v>陳文皓</v>
      </c>
      <c r="E232" s="38">
        <f>摸底成績!AF24</f>
        <v>57</v>
      </c>
      <c r="F232" s="20"/>
    </row>
    <row r="233" spans="1:6">
      <c r="A233" s="38">
        <f>摸底成績!AC25</f>
        <v>20230215</v>
      </c>
      <c r="B233" s="38">
        <f>摸底成績!AD25</f>
        <v>22</v>
      </c>
      <c r="C233" s="36" t="s">
        <v>306</v>
      </c>
      <c r="D233" s="38" t="str">
        <f>摸底成績!AE25</f>
        <v>陳彥希</v>
      </c>
      <c r="E233" s="38">
        <f>摸底成績!AF25</f>
        <v>56</v>
      </c>
      <c r="F233" s="20"/>
    </row>
    <row r="234" spans="1:6">
      <c r="A234" s="38">
        <f>摸底成績!AC26</f>
        <v>20190102</v>
      </c>
      <c r="B234" s="38">
        <f>摸底成績!AD26</f>
        <v>23</v>
      </c>
      <c r="C234" s="36" t="s">
        <v>306</v>
      </c>
      <c r="D234" s="38" t="str">
        <f>摸底成績!AE26</f>
        <v>陳梓琳</v>
      </c>
      <c r="E234" s="38">
        <f>摸底成績!AF26</f>
        <v>34.5</v>
      </c>
      <c r="F234" s="20"/>
    </row>
    <row r="235" spans="1:6">
      <c r="A235" s="38">
        <f>摸底成績!AC27</f>
        <v>20190051</v>
      </c>
      <c r="B235" s="38">
        <f>摸底成績!AD27</f>
        <v>24</v>
      </c>
      <c r="C235" s="36" t="s">
        <v>306</v>
      </c>
      <c r="D235" s="38" t="str">
        <f>摸底成績!AE27</f>
        <v>陳順濤</v>
      </c>
      <c r="E235" s="38">
        <f>摸底成績!AF27</f>
        <v>29</v>
      </c>
      <c r="F235" s="20"/>
    </row>
    <row r="236" spans="1:6">
      <c r="A236" s="38">
        <f>摸底成績!AC28</f>
        <v>20102071</v>
      </c>
      <c r="B236" s="38">
        <f>摸底成績!AD28</f>
        <v>25</v>
      </c>
      <c r="C236" s="36" t="s">
        <v>306</v>
      </c>
      <c r="D236" s="38" t="str">
        <f>摸底成績!AE28</f>
        <v>馮梓浩</v>
      </c>
      <c r="E236" s="38">
        <f>摸底成績!AF28</f>
        <v>0</v>
      </c>
      <c r="F236" s="20"/>
    </row>
    <row r="237" spans="1:6">
      <c r="A237" s="38">
        <f>摸底成績!AC29</f>
        <v>20190027</v>
      </c>
      <c r="B237" s="38">
        <f>摸底成績!AD29</f>
        <v>26</v>
      </c>
      <c r="C237" s="36" t="s">
        <v>306</v>
      </c>
      <c r="D237" s="38" t="str">
        <f>摸底成績!AE29</f>
        <v>黃曼茜</v>
      </c>
      <c r="E237" s="38">
        <f>摸底成績!AF29</f>
        <v>43</v>
      </c>
      <c r="F237" s="20"/>
    </row>
    <row r="238" spans="1:6">
      <c r="A238" s="38">
        <f>摸底成績!AC30</f>
        <v>20133019</v>
      </c>
      <c r="B238" s="38">
        <f>摸底成績!AD30</f>
        <v>27</v>
      </c>
      <c r="C238" s="36" t="s">
        <v>306</v>
      </c>
      <c r="D238" s="38" t="str">
        <f>摸底成績!AE30</f>
        <v>黃淑茵</v>
      </c>
      <c r="E238" s="38">
        <f>摸底成績!AF30</f>
        <v>48.5</v>
      </c>
      <c r="F238" s="20"/>
    </row>
    <row r="239" spans="1:6">
      <c r="A239" s="38">
        <f>摸底成績!AC31</f>
        <v>20190039</v>
      </c>
      <c r="B239" s="38">
        <f>摸底成績!AD31</f>
        <v>28</v>
      </c>
      <c r="C239" s="36" t="s">
        <v>306</v>
      </c>
      <c r="D239" s="38" t="str">
        <f>摸底成績!AE31</f>
        <v>黃清森</v>
      </c>
      <c r="E239" s="38">
        <f>摸底成績!AF31</f>
        <v>28.5</v>
      </c>
      <c r="F239" s="20"/>
    </row>
    <row r="240" spans="1:6">
      <c r="A240" s="38">
        <f>摸底成績!AC32</f>
        <v>20210268</v>
      </c>
      <c r="B240" s="38">
        <f>摸底成績!AD32</f>
        <v>29</v>
      </c>
      <c r="C240" s="36" t="s">
        <v>306</v>
      </c>
      <c r="D240" s="38" t="str">
        <f>摸底成績!AE32</f>
        <v>黃嘉銘</v>
      </c>
      <c r="E240" s="38">
        <f>摸底成績!AF32</f>
        <v>32</v>
      </c>
      <c r="F240" s="20"/>
    </row>
    <row r="241" spans="1:6">
      <c r="A241" s="38">
        <f>摸底成績!AC33</f>
        <v>20133025</v>
      </c>
      <c r="B241" s="38">
        <f>摸底成績!AD33</f>
        <v>30</v>
      </c>
      <c r="C241" s="36" t="s">
        <v>306</v>
      </c>
      <c r="D241" s="38" t="str">
        <f>摸底成績!AE33</f>
        <v>黃曉晴</v>
      </c>
      <c r="E241" s="38">
        <f>摸底成績!AF33</f>
        <v>84</v>
      </c>
      <c r="F241" s="20"/>
    </row>
    <row r="242" spans="1:6">
      <c r="A242" s="38">
        <f>摸底成績!AC34</f>
        <v>20210183</v>
      </c>
      <c r="B242" s="38">
        <f>摸底成績!AD34</f>
        <v>31</v>
      </c>
      <c r="C242" s="36" t="s">
        <v>306</v>
      </c>
      <c r="D242" s="38" t="str">
        <f>摸底成績!AE34</f>
        <v>潘偉汶</v>
      </c>
      <c r="E242" s="38">
        <f>摸底成績!AF34</f>
        <v>27</v>
      </c>
      <c r="F242" s="20"/>
    </row>
    <row r="243" spans="1:6">
      <c r="A243" s="38">
        <f>摸底成績!AC35</f>
        <v>20153057</v>
      </c>
      <c r="B243" s="38">
        <f>摸底成績!AD35</f>
        <v>32</v>
      </c>
      <c r="C243" s="36" t="s">
        <v>306</v>
      </c>
      <c r="D243" s="38" t="str">
        <f>摸底成績!AE35</f>
        <v>黎毅莎</v>
      </c>
      <c r="E243" s="38">
        <f>摸底成績!AF35</f>
        <v>51.5</v>
      </c>
      <c r="F243" s="20"/>
    </row>
    <row r="244" spans="1:6">
      <c r="A244" s="38">
        <f>摸底成績!AC36</f>
        <v>20190045</v>
      </c>
      <c r="B244" s="38">
        <f>摸底成績!AD36</f>
        <v>33</v>
      </c>
      <c r="C244" s="36" t="s">
        <v>306</v>
      </c>
      <c r="D244" s="38" t="str">
        <f>摸底成績!AE36</f>
        <v>歐陽子欣</v>
      </c>
      <c r="E244" s="38">
        <f>摸底成績!AF36</f>
        <v>29.5</v>
      </c>
      <c r="F244" s="20"/>
    </row>
    <row r="245" spans="1:6">
      <c r="A245" s="39"/>
      <c r="B245" s="39"/>
      <c r="E245" s="38"/>
    </row>
    <row r="246" spans="1:6">
      <c r="A246" s="38">
        <f>摸底成績!AG4</f>
        <v>20190164</v>
      </c>
      <c r="B246" s="38">
        <f>摸底成績!AH4</f>
        <v>1</v>
      </c>
      <c r="C246" s="36" t="s">
        <v>307</v>
      </c>
      <c r="D246" s="38" t="str">
        <f>摸底成績!AI4</f>
        <v>王思琦</v>
      </c>
      <c r="E246" s="38">
        <f>摸底成績!AJ4</f>
        <v>32.5</v>
      </c>
      <c r="F246" s="20"/>
    </row>
    <row r="247" spans="1:6">
      <c r="A247" s="38">
        <f>摸底成績!AG5</f>
        <v>20230302</v>
      </c>
      <c r="B247" s="38">
        <f>摸底成績!AH5</f>
        <v>2</v>
      </c>
      <c r="C247" s="36" t="s">
        <v>307</v>
      </c>
      <c r="D247" s="38" t="str">
        <f>摸底成績!AI5</f>
        <v>甘永康</v>
      </c>
      <c r="E247" s="38">
        <f>摸底成績!AJ5</f>
        <v>74</v>
      </c>
      <c r="F247" s="20"/>
    </row>
    <row r="248" spans="1:6">
      <c r="A248" s="38">
        <f>摸底成績!AG6</f>
        <v>20143114</v>
      </c>
      <c r="B248" s="38">
        <f>摸底成績!AH6</f>
        <v>3</v>
      </c>
      <c r="C248" s="36" t="s">
        <v>307</v>
      </c>
      <c r="D248" s="38" t="str">
        <f>摸底成績!AI6</f>
        <v>何海樂</v>
      </c>
      <c r="E248" s="38">
        <f>摸底成績!AJ6</f>
        <v>87</v>
      </c>
      <c r="F248" s="20"/>
    </row>
    <row r="249" spans="1:6">
      <c r="A249" s="38">
        <f>摸底成績!AG7</f>
        <v>20190089</v>
      </c>
      <c r="B249" s="38">
        <f>摸底成績!AH7</f>
        <v>4</v>
      </c>
      <c r="C249" s="36" t="s">
        <v>307</v>
      </c>
      <c r="D249" s="38" t="str">
        <f>摸底成績!AI7</f>
        <v>何潔欣</v>
      </c>
      <c r="E249" s="38">
        <f>摸底成績!AJ7</f>
        <v>63.5</v>
      </c>
      <c r="F249" s="20"/>
    </row>
    <row r="250" spans="1:6">
      <c r="A250" s="38">
        <f>摸底成績!AG8</f>
        <v>20190042</v>
      </c>
      <c r="B250" s="38">
        <f>摸底成績!AH8</f>
        <v>5</v>
      </c>
      <c r="C250" s="36" t="s">
        <v>307</v>
      </c>
      <c r="D250" s="38" t="str">
        <f>摸底成績!AI8</f>
        <v>吳海儀</v>
      </c>
      <c r="E250" s="38">
        <f>摸底成績!AJ8</f>
        <v>76.5</v>
      </c>
      <c r="F250" s="20"/>
    </row>
    <row r="251" spans="1:6">
      <c r="A251" s="38">
        <f>摸底成績!AG9</f>
        <v>20220083</v>
      </c>
      <c r="B251" s="38">
        <f>摸底成績!AH9</f>
        <v>6</v>
      </c>
      <c r="C251" s="36" t="s">
        <v>307</v>
      </c>
      <c r="D251" s="38" t="str">
        <f>摸底成績!AI9</f>
        <v>吳靜希</v>
      </c>
      <c r="E251" s="38">
        <f>摸底成績!AJ9</f>
        <v>68.5</v>
      </c>
      <c r="F251" s="20"/>
    </row>
    <row r="252" spans="1:6">
      <c r="A252" s="38">
        <f>摸底成績!AG10</f>
        <v>20072002</v>
      </c>
      <c r="B252" s="38">
        <f>摸底成績!AH10</f>
        <v>7</v>
      </c>
      <c r="C252" s="36" t="s">
        <v>307</v>
      </c>
      <c r="D252" s="38" t="str">
        <f>摸底成績!AI10</f>
        <v>岑佩穎</v>
      </c>
      <c r="E252" s="38">
        <f>摸底成績!AJ10</f>
        <v>35.5</v>
      </c>
      <c r="F252" s="20"/>
    </row>
    <row r="253" spans="1:6">
      <c r="A253" s="38">
        <f>摸底成績!AG11</f>
        <v>20190070</v>
      </c>
      <c r="B253" s="38">
        <f>摸底成績!AH11</f>
        <v>8</v>
      </c>
      <c r="C253" s="36" t="s">
        <v>307</v>
      </c>
      <c r="D253" s="38" t="str">
        <f>摸底成績!AI11</f>
        <v>李浚軒</v>
      </c>
      <c r="E253" s="38">
        <f>摸底成績!AJ11</f>
        <v>47</v>
      </c>
      <c r="F253" s="20"/>
    </row>
    <row r="254" spans="1:6">
      <c r="A254" s="38">
        <f>摸底成績!AG12</f>
        <v>20190022</v>
      </c>
      <c r="B254" s="38">
        <f>摸底成績!AH12</f>
        <v>9</v>
      </c>
      <c r="C254" s="36" t="s">
        <v>307</v>
      </c>
      <c r="D254" s="38" t="str">
        <f>摸底成績!AI12</f>
        <v>林心瑜</v>
      </c>
      <c r="E254" s="38">
        <f>摸底成績!AJ12</f>
        <v>63</v>
      </c>
      <c r="F254" s="20"/>
    </row>
    <row r="255" spans="1:6">
      <c r="A255" s="38">
        <f>摸底成績!AG13</f>
        <v>20190192</v>
      </c>
      <c r="B255" s="38">
        <f>摸底成績!AH13</f>
        <v>10</v>
      </c>
      <c r="C255" s="36" t="s">
        <v>307</v>
      </c>
      <c r="D255" s="38" t="str">
        <f>摸底成績!AI13</f>
        <v>林延聰</v>
      </c>
      <c r="E255" s="38">
        <f>摸底成績!AJ13</f>
        <v>46.5</v>
      </c>
      <c r="F255" s="20"/>
    </row>
    <row r="256" spans="1:6">
      <c r="A256" s="38">
        <f>摸底成績!AG14</f>
        <v>20190225</v>
      </c>
      <c r="B256" s="38">
        <f>摸底成績!AH14</f>
        <v>11</v>
      </c>
      <c r="C256" s="36" t="s">
        <v>307</v>
      </c>
      <c r="D256" s="38" t="str">
        <f>摸底成績!AI14</f>
        <v>林彥霖</v>
      </c>
      <c r="E256" s="38">
        <f>摸底成績!AJ14</f>
        <v>67</v>
      </c>
      <c r="F256" s="20"/>
    </row>
    <row r="257" spans="1:6">
      <c r="A257" s="38">
        <f>摸底成績!AG15</f>
        <v>20230294</v>
      </c>
      <c r="B257" s="38">
        <f>摸底成績!AH15</f>
        <v>12</v>
      </c>
      <c r="C257" s="36" t="s">
        <v>307</v>
      </c>
      <c r="D257" s="38" t="str">
        <f>摸底成績!AI15</f>
        <v>洪凱鋒</v>
      </c>
      <c r="E257" s="38">
        <f>摸底成績!AJ15</f>
        <v>26</v>
      </c>
      <c r="F257" s="20"/>
    </row>
    <row r="258" spans="1:6">
      <c r="A258" s="38">
        <f>摸底成績!AG16</f>
        <v>20163042</v>
      </c>
      <c r="B258" s="38">
        <f>摸底成績!AH16</f>
        <v>13</v>
      </c>
      <c r="C258" s="36" t="s">
        <v>307</v>
      </c>
      <c r="D258" s="38" t="str">
        <f>摸底成績!AI16</f>
        <v>袁智峰</v>
      </c>
      <c r="E258" s="38">
        <f>摸底成績!AJ16</f>
        <v>73.5</v>
      </c>
      <c r="F258" s="20"/>
    </row>
    <row r="259" spans="1:6">
      <c r="A259" s="38">
        <f>摸底成績!AG17</f>
        <v>20200190</v>
      </c>
      <c r="B259" s="38">
        <f>摸底成績!AH17</f>
        <v>14</v>
      </c>
      <c r="C259" s="36" t="s">
        <v>307</v>
      </c>
      <c r="D259" s="38" t="str">
        <f>摸底成績!AI17</f>
        <v>袁曉萱</v>
      </c>
      <c r="E259" s="38">
        <f>摸底成績!AJ17</f>
        <v>80</v>
      </c>
      <c r="F259" s="20"/>
    </row>
    <row r="260" spans="1:6">
      <c r="A260" s="38">
        <f>摸底成績!AG18</f>
        <v>20153092</v>
      </c>
      <c r="B260" s="38">
        <f>摸底成績!AH18</f>
        <v>15</v>
      </c>
      <c r="C260" s="36" t="s">
        <v>307</v>
      </c>
      <c r="D260" s="38" t="str">
        <f>摸底成績!AI18</f>
        <v>張曉瑩</v>
      </c>
      <c r="E260" s="38">
        <f>摸底成績!AJ18</f>
        <v>58.5</v>
      </c>
      <c r="F260" s="20"/>
    </row>
    <row r="261" spans="1:6">
      <c r="A261" s="38">
        <f>摸底成績!AG19</f>
        <v>20122156</v>
      </c>
      <c r="B261" s="38">
        <f>摸底成績!AH19</f>
        <v>16</v>
      </c>
      <c r="C261" s="36" t="s">
        <v>307</v>
      </c>
      <c r="D261" s="38" t="str">
        <f>摸底成績!AI19</f>
        <v>曹曉淳</v>
      </c>
      <c r="E261" s="38">
        <f>摸底成績!AJ19</f>
        <v>62</v>
      </c>
      <c r="F261" s="20"/>
    </row>
    <row r="262" spans="1:6">
      <c r="A262" s="38">
        <f>摸底成績!AG20</f>
        <v>20190032</v>
      </c>
      <c r="B262" s="38">
        <f>摸底成績!AH20</f>
        <v>17</v>
      </c>
      <c r="C262" s="36" t="s">
        <v>307</v>
      </c>
      <c r="D262" s="38" t="str">
        <f>摸底成績!AI20</f>
        <v>梁君妍</v>
      </c>
      <c r="E262" s="38">
        <f>摸底成績!AJ20</f>
        <v>63</v>
      </c>
      <c r="F262" s="20"/>
    </row>
    <row r="263" spans="1:6">
      <c r="A263" s="38">
        <f>摸底成績!AG21</f>
        <v>20102064</v>
      </c>
      <c r="B263" s="38">
        <f>摸底成績!AH21</f>
        <v>18</v>
      </c>
      <c r="C263" s="36" t="s">
        <v>307</v>
      </c>
      <c r="D263" s="38" t="str">
        <f>摸底成績!AI21</f>
        <v>梁俊欣</v>
      </c>
      <c r="E263" s="38">
        <f>摸底成績!AJ21</f>
        <v>82.5</v>
      </c>
      <c r="F263" s="20"/>
    </row>
    <row r="264" spans="1:6">
      <c r="A264" s="38">
        <f>摸底成績!AG22</f>
        <v>20133014</v>
      </c>
      <c r="B264" s="38">
        <f>摸底成績!AH22</f>
        <v>19</v>
      </c>
      <c r="C264" s="36" t="s">
        <v>307</v>
      </c>
      <c r="D264" s="38" t="str">
        <f>摸底成績!AI22</f>
        <v>梁藹珺</v>
      </c>
      <c r="E264" s="38">
        <f>摸底成績!AJ22</f>
        <v>52</v>
      </c>
      <c r="F264" s="20"/>
    </row>
    <row r="265" spans="1:6">
      <c r="A265" s="38">
        <f>摸底成績!AG23</f>
        <v>20190007</v>
      </c>
      <c r="B265" s="38">
        <f>摸底成績!AH23</f>
        <v>20</v>
      </c>
      <c r="C265" s="36" t="s">
        <v>307</v>
      </c>
      <c r="D265" s="38" t="str">
        <f>摸底成績!AI23</f>
        <v>陳美鳳</v>
      </c>
      <c r="E265" s="38">
        <f>摸底成績!AJ23</f>
        <v>59.5</v>
      </c>
      <c r="F265" s="20"/>
    </row>
    <row r="266" spans="1:6">
      <c r="A266" s="38">
        <f>摸底成績!AG24</f>
        <v>20153014</v>
      </c>
      <c r="B266" s="38">
        <f>摸底成績!AH24</f>
        <v>21</v>
      </c>
      <c r="C266" s="36" t="s">
        <v>307</v>
      </c>
      <c r="D266" s="38" t="str">
        <f>摸底成績!AI24</f>
        <v>陳浩揚</v>
      </c>
      <c r="E266" s="38">
        <f>摸底成績!AJ24</f>
        <v>76</v>
      </c>
      <c r="F266" s="20"/>
    </row>
    <row r="267" spans="1:6">
      <c r="A267" s="38">
        <f>摸底成績!AG25</f>
        <v>20153076</v>
      </c>
      <c r="B267" s="38">
        <f>摸底成績!AH25</f>
        <v>22</v>
      </c>
      <c r="C267" s="36" t="s">
        <v>307</v>
      </c>
      <c r="D267" s="38" t="str">
        <f>摸底成績!AI25</f>
        <v>陳慧蕎</v>
      </c>
      <c r="E267" s="38">
        <f>摸底成績!AJ25</f>
        <v>58.5</v>
      </c>
      <c r="F267" s="20"/>
    </row>
    <row r="268" spans="1:6">
      <c r="A268" s="38">
        <f>摸底成績!AG26</f>
        <v>20102045</v>
      </c>
      <c r="B268" s="38">
        <f>摸底成績!AH26</f>
        <v>23</v>
      </c>
      <c r="C268" s="36" t="s">
        <v>307</v>
      </c>
      <c r="D268" s="38" t="str">
        <f>摸底成績!AI26</f>
        <v>曾智恆</v>
      </c>
      <c r="E268" s="38">
        <f>摸底成績!AJ26</f>
        <v>29</v>
      </c>
      <c r="F268" s="20"/>
    </row>
    <row r="269" spans="1:6">
      <c r="A269" s="38">
        <f>摸底成績!AG27</f>
        <v>20102016</v>
      </c>
      <c r="B269" s="38">
        <f>摸底成績!AH27</f>
        <v>24</v>
      </c>
      <c r="C269" s="36" t="s">
        <v>307</v>
      </c>
      <c r="D269" s="38" t="str">
        <f>摸底成績!AI27</f>
        <v>黃宇軒</v>
      </c>
      <c r="E269" s="38">
        <f>摸底成績!AJ27</f>
        <v>84.5</v>
      </c>
      <c r="F269" s="20"/>
    </row>
    <row r="270" spans="1:6">
      <c r="A270" s="38">
        <f>摸底成績!AG28</f>
        <v>20190064</v>
      </c>
      <c r="B270" s="38">
        <f>摸底成績!AH28</f>
        <v>25</v>
      </c>
      <c r="C270" s="36" t="s">
        <v>307</v>
      </c>
      <c r="D270" s="38" t="str">
        <f>摸底成績!AI28</f>
        <v>黃駿東</v>
      </c>
      <c r="E270" s="38">
        <f>摸底成績!AJ28</f>
        <v>69</v>
      </c>
      <c r="F270" s="20"/>
    </row>
    <row r="271" spans="1:6">
      <c r="A271" s="38">
        <f>摸底成績!AG29</f>
        <v>20190001</v>
      </c>
      <c r="B271" s="38">
        <f>摸底成績!AH29</f>
        <v>26</v>
      </c>
      <c r="C271" s="36" t="s">
        <v>307</v>
      </c>
      <c r="D271" s="38" t="str">
        <f>摸底成績!AI29</f>
        <v>黃馨瑩</v>
      </c>
      <c r="E271" s="38">
        <f>摸底成績!AJ29</f>
        <v>68</v>
      </c>
      <c r="F271" s="20"/>
    </row>
    <row r="272" spans="1:6">
      <c r="A272" s="38">
        <f>摸底成績!AG30</f>
        <v>20210259</v>
      </c>
      <c r="B272" s="38">
        <f>摸底成績!AH30</f>
        <v>27</v>
      </c>
      <c r="C272" s="36" t="s">
        <v>307</v>
      </c>
      <c r="D272" s="38" t="str">
        <f>摸底成績!AI30</f>
        <v>楊子誼</v>
      </c>
      <c r="E272" s="38">
        <f>摸底成績!AJ30</f>
        <v>60.5</v>
      </c>
      <c r="F272" s="20"/>
    </row>
    <row r="273" spans="1:6">
      <c r="A273" s="38">
        <f>摸底成績!AG31</f>
        <v>20102021</v>
      </c>
      <c r="B273" s="38">
        <f>摸底成績!AH31</f>
        <v>28</v>
      </c>
      <c r="C273" s="36" t="s">
        <v>307</v>
      </c>
      <c r="D273" s="38" t="str">
        <f>摸底成績!AI31</f>
        <v>葉凱瑩</v>
      </c>
      <c r="E273" s="38">
        <f>摸底成績!AJ31</f>
        <v>61</v>
      </c>
      <c r="F273" s="20"/>
    </row>
    <row r="274" spans="1:6">
      <c r="A274" s="38">
        <f>摸底成績!AG32</f>
        <v>20190223</v>
      </c>
      <c r="B274" s="38">
        <f>摸底成績!AH32</f>
        <v>29</v>
      </c>
      <c r="C274" s="36" t="s">
        <v>307</v>
      </c>
      <c r="D274" s="38" t="str">
        <f>摸底成績!AI32</f>
        <v>鄒子熙</v>
      </c>
      <c r="E274" s="38">
        <f>摸底成績!AJ32</f>
        <v>62</v>
      </c>
      <c r="F274" s="20"/>
    </row>
    <row r="275" spans="1:6">
      <c r="A275" s="38">
        <f>摸底成績!AG33</f>
        <v>20190023</v>
      </c>
      <c r="B275" s="38">
        <f>摸底成績!AH33</f>
        <v>30</v>
      </c>
      <c r="C275" s="36" t="s">
        <v>307</v>
      </c>
      <c r="D275" s="38" t="str">
        <f>摸底成績!AI33</f>
        <v>廖一鳴</v>
      </c>
      <c r="E275" s="38">
        <f>摸底成績!AJ33</f>
        <v>43.5</v>
      </c>
      <c r="F275" s="20"/>
    </row>
    <row r="276" spans="1:6">
      <c r="A276" s="38">
        <f>摸底成績!AG34</f>
        <v>20102023</v>
      </c>
      <c r="B276" s="38">
        <f>摸底成績!AH34</f>
        <v>31</v>
      </c>
      <c r="C276" s="36" t="s">
        <v>307</v>
      </c>
      <c r="D276" s="38" t="str">
        <f>摸底成績!AI34</f>
        <v>趙必麗</v>
      </c>
      <c r="E276" s="38">
        <f>摸底成績!AJ34</f>
        <v>79.5</v>
      </c>
      <c r="F276" s="20"/>
    </row>
    <row r="277" spans="1:6">
      <c r="A277" s="38">
        <f>摸底成績!AG35</f>
        <v>20210220</v>
      </c>
      <c r="B277" s="38">
        <f>摸底成績!AH35</f>
        <v>32</v>
      </c>
      <c r="C277" s="36" t="s">
        <v>307</v>
      </c>
      <c r="D277" s="38" t="str">
        <f>摸底成績!AI35</f>
        <v>劉柯泓</v>
      </c>
      <c r="E277" s="38">
        <f>摸底成績!AJ35</f>
        <v>79</v>
      </c>
      <c r="F277" s="20"/>
    </row>
    <row r="278" spans="1:6">
      <c r="A278" s="38">
        <f>摸底成績!AG36</f>
        <v>20210264</v>
      </c>
      <c r="B278" s="38">
        <f>摸底成績!AH36</f>
        <v>33</v>
      </c>
      <c r="C278" s="36" t="s">
        <v>307</v>
      </c>
      <c r="D278" s="38" t="str">
        <f>摸底成績!AI36</f>
        <v>蔡嘉傑</v>
      </c>
      <c r="E278" s="38">
        <f>摸底成績!AJ36</f>
        <v>49</v>
      </c>
      <c r="F278" s="20"/>
    </row>
    <row r="279" spans="1:6">
      <c r="A279" s="38">
        <f>摸底成績!AG37</f>
        <v>20102052</v>
      </c>
      <c r="B279" s="38">
        <f>摸底成績!AH37</f>
        <v>34</v>
      </c>
      <c r="C279" s="36" t="s">
        <v>307</v>
      </c>
      <c r="D279" s="38" t="str">
        <f>摸底成績!AI37</f>
        <v>鄺基業</v>
      </c>
      <c r="E279" s="38">
        <f>摸底成績!AJ37</f>
        <v>75.5</v>
      </c>
      <c r="F279" s="20"/>
    </row>
    <row r="280" spans="1:6">
      <c r="A280" s="39"/>
      <c r="B280" s="39"/>
    </row>
    <row r="281" spans="1:6">
      <c r="A281" s="39"/>
      <c r="B281" s="39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摸底成績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2024-11-07T01:42:15Z</dcterms:created>
  <dcterms:modified xsi:type="dcterms:W3CDTF">2024-11-07T01:47:39Z</dcterms:modified>
</cp:coreProperties>
</file>